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agan_rankin_mail_utoronto_ca/Documents/Saxe Posen Rankin/p1 carbon budgeting/coding/rasmi_sampler/data/shahid_casestudy_data/"/>
    </mc:Choice>
  </mc:AlternateContent>
  <xr:revisionPtr revIDLastSave="9" documentId="8_{14FDC869-9429-B148-9B73-358AD5B9459D}" xr6:coauthVersionLast="47" xr6:coauthVersionMax="47" xr10:uidLastSave="{0921C40D-BCBF-4418-AC9C-334EC417A24C}"/>
  <bookViews>
    <workbookView xWindow="-108" yWindow="-108" windowWidth="23256" windowHeight="12456" activeTab="1" xr2:uid="{AB5EED30-F0D7-5347-901B-5FC45571A7EF}"/>
  </bookViews>
  <sheets>
    <sheet name="NRCan age projections" sheetId="1" r:id="rId1"/>
    <sheet name="Keagan see this sheet" sheetId="2" r:id="rId2"/>
  </sheets>
  <definedNames>
    <definedName name="_xlnm._FilterDatabase" localSheetId="0" hidden="1">'NRCan age projections'!$A$1:$G$198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M2" i="2"/>
  <c r="O2" i="2"/>
  <c r="P2" i="2"/>
  <c r="Q2" i="2"/>
  <c r="R2" i="2"/>
  <c r="S2" i="2"/>
  <c r="T2" i="2"/>
  <c r="U2" i="2"/>
  <c r="V2" i="2"/>
  <c r="W2" i="2"/>
  <c r="X2" i="2"/>
  <c r="Y2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0" i="2"/>
  <c r="M3" i="2" s="1" a="1"/>
  <c r="B3" i="2" a="1"/>
  <c r="AF2" i="2" l="1"/>
  <c r="AE2" i="2"/>
  <c r="AD2" i="2"/>
  <c r="AC2" i="2"/>
  <c r="AB2" i="2"/>
  <c r="AA2" i="2"/>
  <c r="Z2" i="2"/>
  <c r="AJ3" i="2"/>
  <c r="AJ2" i="2" s="1"/>
  <c r="AG3" i="2"/>
  <c r="AG2" i="2" s="1"/>
  <c r="AI3" i="2"/>
  <c r="AI2" i="2" s="1"/>
  <c r="AM3" i="2"/>
  <c r="AM2" i="2" s="1"/>
  <c r="AK3" i="2"/>
  <c r="AK2" i="2" s="1"/>
  <c r="AL3" i="2"/>
  <c r="AL2" i="2" s="1"/>
  <c r="AH3" i="2"/>
  <c r="AH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<sst xmlns="http://schemas.openxmlformats.org/spreadsheetml/2006/main" count="798" uniqueCount="23">
  <si>
    <t>REF_DATE</t>
  </si>
  <si>
    <t>GEO</t>
  </si>
  <si>
    <t>Projection scenario</t>
  </si>
  <si>
    <t>Gender</t>
  </si>
  <si>
    <t>Age group</t>
  </si>
  <si>
    <t>VALUE</t>
  </si>
  <si>
    <t>Canada</t>
  </si>
  <si>
    <t>Projection scenario LG: low-growth</t>
  </si>
  <si>
    <t>Total - gender</t>
  </si>
  <si>
    <t>All ages</t>
  </si>
  <si>
    <t>Projection scenario M1: medium-growth</t>
  </si>
  <si>
    <t>Projection scenario M2: medium-growth</t>
  </si>
  <si>
    <t>Projection scenario M3: medium-growth</t>
  </si>
  <si>
    <t>Projection scenario M4: medium-growth</t>
  </si>
  <si>
    <t>Projection scenario M5: medium-growth</t>
  </si>
  <si>
    <t>Projection scenario M6: medium-growth</t>
  </si>
  <si>
    <t>Projection scenario HG: high-growth</t>
  </si>
  <si>
    <t>Projection scenario SA: slow-aging</t>
  </si>
  <si>
    <t>Projection scenario FA: fast-aging</t>
  </si>
  <si>
    <t>Total Floor Space (million m2)</t>
  </si>
  <si>
    <t>Population</t>
  </si>
  <si>
    <t>386006x - 7E+08</t>
  </si>
  <si>
    <t>NRCAN CEUD Canada m2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</si>
</sst>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theme="1"/>
      <name val="Aptos Narrow"/>
      <family val="2"/>
      <scheme val="minor"/>
    </font>
    <font>
      <sz val="14"/>
      <color rgb="FF333333"/>
      <name val="Helvetica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164" fontId="6" fillId="0" borderId="0" xfId="1" applyNumberFormat="1" applyFont="1"/>
    <xf numFmtId="0" fontId="6" fillId="0" borderId="1" xfId="1" applyFont="1" applyBorder="1"/>
  </cellXfs>
  <cellStyles count="2">
    <cellStyle name="Normal" xfId="0" builtinId="0"/>
    <cellStyle name="Normal 2" xfId="1" xr:uid="{FF58530B-ECC1-4691-B931-6E4C98D50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7"/>
            <c:dispRSqr val="1"/>
            <c:dispEq val="1"/>
            <c:trendlineLbl>
              <c:layout>
                <c:manualLayout>
                  <c:x val="-6.9998250218722663E-2"/>
                  <c:y val="0.324548702245552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'Keagan see this sheet'!$B$1:$AM$1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'Keagan see this sheet'!$B$3:$AF$3</c:f>
              <c:numCache>
                <c:formatCode>General</c:formatCode>
                <c:ptCount val="31"/>
                <c:pt idx="0">
                  <c:v>35209597</c:v>
                </c:pt>
                <c:pt idx="1">
                  <c:v>35555305</c:v>
                </c:pt>
                <c:pt idx="2">
                  <c:v>35823591</c:v>
                </c:pt>
                <c:pt idx="3">
                  <c:v>36257421</c:v>
                </c:pt>
                <c:pt idx="4">
                  <c:v>36722075</c:v>
                </c:pt>
                <c:pt idx="5">
                  <c:v>37259485</c:v>
                </c:pt>
                <c:pt idx="6">
                  <c:v>37828162</c:v>
                </c:pt>
                <c:pt idx="7">
                  <c:v>38027406</c:v>
                </c:pt>
                <c:pt idx="8">
                  <c:v>38446871</c:v>
                </c:pt>
                <c:pt idx="9">
                  <c:v>39279501</c:v>
                </c:pt>
                <c:pt idx="10">
                  <c:v>40513781</c:v>
                </c:pt>
                <c:pt idx="11">
                  <c:v>41288600</c:v>
                </c:pt>
                <c:pt idx="12">
                  <c:v>41423700</c:v>
                </c:pt>
                <c:pt idx="13">
                  <c:v>41339800</c:v>
                </c:pt>
                <c:pt idx="14">
                  <c:v>41449800</c:v>
                </c:pt>
                <c:pt idx="15">
                  <c:v>41784700</c:v>
                </c:pt>
                <c:pt idx="16">
                  <c:v>42116400</c:v>
                </c:pt>
                <c:pt idx="17">
                  <c:v>42446400</c:v>
                </c:pt>
                <c:pt idx="18">
                  <c:v>42775500</c:v>
                </c:pt>
                <c:pt idx="19">
                  <c:v>43104800</c:v>
                </c:pt>
                <c:pt idx="20">
                  <c:v>43435100</c:v>
                </c:pt>
                <c:pt idx="21">
                  <c:v>43765700</c:v>
                </c:pt>
                <c:pt idx="22">
                  <c:v>44095500</c:v>
                </c:pt>
                <c:pt idx="23">
                  <c:v>44425600</c:v>
                </c:pt>
                <c:pt idx="24">
                  <c:v>44756800</c:v>
                </c:pt>
                <c:pt idx="25">
                  <c:v>45090200</c:v>
                </c:pt>
                <c:pt idx="26">
                  <c:v>45426400</c:v>
                </c:pt>
                <c:pt idx="27">
                  <c:v>45766000</c:v>
                </c:pt>
                <c:pt idx="28">
                  <c:v>46109300</c:v>
                </c:pt>
                <c:pt idx="29">
                  <c:v>46457000</c:v>
                </c:pt>
                <c:pt idx="30">
                  <c:v>46809000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38-7E4D-82D6-BAD2B44CF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928640"/>
        <c:axId val="1810318448"/>
      </c:scatterChart>
      <c:valAx>
        <c:axId val="181392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318448"/>
        <c:crosses val="autoZero"/>
        <c:crossBetween val="midCat"/>
      </c:valAx>
      <c:valAx>
        <c:axId val="18103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2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692150</xdr:colOff>
      <xdr:row>10</xdr:row>
      <xdr:rowOff>177800</xdr:rowOff>
    </xdr:from>
    <xdr:to>
      <xdr:col>33</xdr:col>
      <xdr:colOff>596900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858DF-C2A3-49B0-8B03-361E313A0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0A1F-19FE-404A-8A2D-B8AF1B3EE634}">
  <sheetPr filterMode="1"/>
  <dimension ref="A1:G198"/>
  <sheetViews>
    <sheetView workbookViewId="0">
      <selection activeCell="G3" sqref="G3:G193"/>
    </sheetView>
  </sheetViews>
  <sheetFormatPr defaultColWidth="11.19921875" defaultRowHeight="15.6"/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idden="1">
      <c r="A2" s="2">
        <v>0</v>
      </c>
      <c r="B2" s="3">
        <v>2024</v>
      </c>
      <c r="C2" s="3" t="s">
        <v>6</v>
      </c>
      <c r="D2" s="3" t="s">
        <v>7</v>
      </c>
      <c r="E2" s="3" t="s">
        <v>8</v>
      </c>
      <c r="F2" s="3" t="s">
        <v>9</v>
      </c>
      <c r="G2" s="3">
        <v>41288.6</v>
      </c>
    </row>
    <row r="3" spans="1:7">
      <c r="A3" s="2">
        <v>375</v>
      </c>
      <c r="B3" s="3">
        <v>2024</v>
      </c>
      <c r="C3" s="3" t="s">
        <v>6</v>
      </c>
      <c r="D3" s="3" t="s">
        <v>10</v>
      </c>
      <c r="E3" s="3" t="s">
        <v>8</v>
      </c>
      <c r="F3" s="3" t="s">
        <v>9</v>
      </c>
      <c r="G3" s="3">
        <v>41288.6</v>
      </c>
    </row>
    <row r="4" spans="1:7" hidden="1">
      <c r="A4" s="2">
        <v>750</v>
      </c>
      <c r="B4" s="3">
        <v>2024</v>
      </c>
      <c r="C4" s="3" t="s">
        <v>6</v>
      </c>
      <c r="D4" s="3" t="s">
        <v>11</v>
      </c>
      <c r="E4" s="3" t="s">
        <v>8</v>
      </c>
      <c r="F4" s="3" t="s">
        <v>9</v>
      </c>
      <c r="G4" s="3">
        <v>41288.6</v>
      </c>
    </row>
    <row r="5" spans="1:7" hidden="1">
      <c r="A5" s="2">
        <v>1125</v>
      </c>
      <c r="B5" s="3">
        <v>2024</v>
      </c>
      <c r="C5" s="3" t="s">
        <v>6</v>
      </c>
      <c r="D5" s="3" t="s">
        <v>12</v>
      </c>
      <c r="E5" s="3" t="s">
        <v>8</v>
      </c>
      <c r="F5" s="3" t="s">
        <v>9</v>
      </c>
      <c r="G5" s="3">
        <v>41288.6</v>
      </c>
    </row>
    <row r="6" spans="1:7" hidden="1">
      <c r="A6" s="2">
        <v>1500</v>
      </c>
      <c r="B6" s="3">
        <v>2024</v>
      </c>
      <c r="C6" s="3" t="s">
        <v>6</v>
      </c>
      <c r="D6" s="3" t="s">
        <v>13</v>
      </c>
      <c r="E6" s="3" t="s">
        <v>8</v>
      </c>
      <c r="F6" s="3" t="s">
        <v>9</v>
      </c>
      <c r="G6" s="3">
        <v>41288.6</v>
      </c>
    </row>
    <row r="7" spans="1:7" hidden="1">
      <c r="A7" s="2">
        <v>1875</v>
      </c>
      <c r="B7" s="3">
        <v>2024</v>
      </c>
      <c r="C7" s="3" t="s">
        <v>6</v>
      </c>
      <c r="D7" s="3" t="s">
        <v>14</v>
      </c>
      <c r="E7" s="3" t="s">
        <v>8</v>
      </c>
      <c r="F7" s="3" t="s">
        <v>9</v>
      </c>
      <c r="G7" s="3">
        <v>41288.6</v>
      </c>
    </row>
    <row r="8" spans="1:7" hidden="1">
      <c r="A8" s="2">
        <v>2250</v>
      </c>
      <c r="B8" s="3">
        <v>2024</v>
      </c>
      <c r="C8" s="3" t="s">
        <v>6</v>
      </c>
      <c r="D8" s="3" t="s">
        <v>15</v>
      </c>
      <c r="E8" s="3" t="s">
        <v>8</v>
      </c>
      <c r="F8" s="3" t="s">
        <v>9</v>
      </c>
      <c r="G8" s="3">
        <v>41288.6</v>
      </c>
    </row>
    <row r="9" spans="1:7" hidden="1">
      <c r="A9" s="2">
        <v>2625</v>
      </c>
      <c r="B9" s="3">
        <v>2024</v>
      </c>
      <c r="C9" s="3" t="s">
        <v>6</v>
      </c>
      <c r="D9" s="3" t="s">
        <v>16</v>
      </c>
      <c r="E9" s="3" t="s">
        <v>8</v>
      </c>
      <c r="F9" s="3" t="s">
        <v>9</v>
      </c>
      <c r="G9" s="3">
        <v>41288.6</v>
      </c>
    </row>
    <row r="10" spans="1:7" hidden="1">
      <c r="A10" s="2">
        <v>3000</v>
      </c>
      <c r="B10" s="3">
        <v>2024</v>
      </c>
      <c r="C10" s="3" t="s">
        <v>6</v>
      </c>
      <c r="D10" s="3" t="s">
        <v>17</v>
      </c>
      <c r="E10" s="3" t="s">
        <v>8</v>
      </c>
      <c r="F10" s="3" t="s">
        <v>9</v>
      </c>
      <c r="G10" s="3">
        <v>41288.6</v>
      </c>
    </row>
    <row r="11" spans="1:7" hidden="1">
      <c r="A11" s="2">
        <v>3375</v>
      </c>
      <c r="B11" s="3">
        <v>2024</v>
      </c>
      <c r="C11" s="3" t="s">
        <v>6</v>
      </c>
      <c r="D11" s="3" t="s">
        <v>18</v>
      </c>
      <c r="E11" s="3" t="s">
        <v>8</v>
      </c>
      <c r="F11" s="3" t="s">
        <v>9</v>
      </c>
      <c r="G11" s="3">
        <v>41288.6</v>
      </c>
    </row>
    <row r="12" spans="1:7" hidden="1">
      <c r="A12" s="2">
        <v>52500</v>
      </c>
      <c r="B12" s="3">
        <v>2025</v>
      </c>
      <c r="C12" s="3" t="s">
        <v>6</v>
      </c>
      <c r="D12" s="3" t="s">
        <v>7</v>
      </c>
      <c r="E12" s="3" t="s">
        <v>8</v>
      </c>
      <c r="F12" s="3" t="s">
        <v>9</v>
      </c>
      <c r="G12" s="3">
        <v>41326</v>
      </c>
    </row>
    <row r="13" spans="1:7">
      <c r="A13" s="2">
        <v>52875</v>
      </c>
      <c r="B13" s="3">
        <v>2025</v>
      </c>
      <c r="C13" s="3" t="s">
        <v>6</v>
      </c>
      <c r="D13" s="3" t="s">
        <v>10</v>
      </c>
      <c r="E13" s="3" t="s">
        <v>8</v>
      </c>
      <c r="F13" s="3" t="s">
        <v>9</v>
      </c>
      <c r="G13" s="3">
        <v>41423.699999999997</v>
      </c>
    </row>
    <row r="14" spans="1:7" hidden="1">
      <c r="A14" s="2">
        <v>53250</v>
      </c>
      <c r="B14" s="3">
        <v>2025</v>
      </c>
      <c r="C14" s="3" t="s">
        <v>6</v>
      </c>
      <c r="D14" s="3" t="s">
        <v>11</v>
      </c>
      <c r="E14" s="3" t="s">
        <v>8</v>
      </c>
      <c r="F14" s="3" t="s">
        <v>9</v>
      </c>
      <c r="G14" s="3">
        <v>41423.800000000003</v>
      </c>
    </row>
    <row r="15" spans="1:7" hidden="1">
      <c r="A15" s="2">
        <v>53625</v>
      </c>
      <c r="B15" s="3">
        <v>2025</v>
      </c>
      <c r="C15" s="3" t="s">
        <v>6</v>
      </c>
      <c r="D15" s="3" t="s">
        <v>12</v>
      </c>
      <c r="E15" s="3" t="s">
        <v>8</v>
      </c>
      <c r="F15" s="3" t="s">
        <v>9</v>
      </c>
      <c r="G15" s="3">
        <v>41423.800000000003</v>
      </c>
    </row>
    <row r="16" spans="1:7" hidden="1">
      <c r="A16" s="2">
        <v>54000</v>
      </c>
      <c r="B16" s="3">
        <v>2025</v>
      </c>
      <c r="C16" s="3" t="s">
        <v>6</v>
      </c>
      <c r="D16" s="3" t="s">
        <v>13</v>
      </c>
      <c r="E16" s="3" t="s">
        <v>8</v>
      </c>
      <c r="F16" s="3" t="s">
        <v>9</v>
      </c>
      <c r="G16" s="3">
        <v>41423.800000000003</v>
      </c>
    </row>
    <row r="17" spans="1:7" hidden="1">
      <c r="A17" s="2">
        <v>54375</v>
      </c>
      <c r="B17" s="3">
        <v>2025</v>
      </c>
      <c r="C17" s="3" t="s">
        <v>6</v>
      </c>
      <c r="D17" s="3" t="s">
        <v>14</v>
      </c>
      <c r="E17" s="3" t="s">
        <v>8</v>
      </c>
      <c r="F17" s="3" t="s">
        <v>9</v>
      </c>
      <c r="G17" s="3">
        <v>41423.699999999997</v>
      </c>
    </row>
    <row r="18" spans="1:7" hidden="1">
      <c r="A18" s="2">
        <v>54750</v>
      </c>
      <c r="B18" s="3">
        <v>2025</v>
      </c>
      <c r="C18" s="3" t="s">
        <v>6</v>
      </c>
      <c r="D18" s="3" t="s">
        <v>15</v>
      </c>
      <c r="E18" s="3" t="s">
        <v>8</v>
      </c>
      <c r="F18" s="3" t="s">
        <v>9</v>
      </c>
      <c r="G18" s="3">
        <v>41423.699999999997</v>
      </c>
    </row>
    <row r="19" spans="1:7" hidden="1">
      <c r="A19" s="2">
        <v>55125</v>
      </c>
      <c r="B19" s="3">
        <v>2025</v>
      </c>
      <c r="C19" s="3" t="s">
        <v>6</v>
      </c>
      <c r="D19" s="3" t="s">
        <v>16</v>
      </c>
      <c r="E19" s="3" t="s">
        <v>8</v>
      </c>
      <c r="F19" s="3" t="s">
        <v>9</v>
      </c>
      <c r="G19" s="3">
        <v>41729.9</v>
      </c>
    </row>
    <row r="20" spans="1:7" hidden="1">
      <c r="A20" s="2">
        <v>55500</v>
      </c>
      <c r="B20" s="3">
        <v>2025</v>
      </c>
      <c r="C20" s="3" t="s">
        <v>6</v>
      </c>
      <c r="D20" s="3" t="s">
        <v>17</v>
      </c>
      <c r="E20" s="3" t="s">
        <v>8</v>
      </c>
      <c r="F20" s="3" t="s">
        <v>9</v>
      </c>
      <c r="G20" s="3">
        <v>41686.699999999997</v>
      </c>
    </row>
    <row r="21" spans="1:7" hidden="1">
      <c r="A21" s="2">
        <v>55875</v>
      </c>
      <c r="B21" s="3">
        <v>2025</v>
      </c>
      <c r="C21" s="3" t="s">
        <v>6</v>
      </c>
      <c r="D21" s="3" t="s">
        <v>18</v>
      </c>
      <c r="E21" s="3" t="s">
        <v>8</v>
      </c>
      <c r="F21" s="3" t="s">
        <v>9</v>
      </c>
      <c r="G21" s="3">
        <v>41369.4</v>
      </c>
    </row>
    <row r="22" spans="1:7" hidden="1">
      <c r="A22" s="2">
        <v>105000</v>
      </c>
      <c r="B22" s="3">
        <v>2026</v>
      </c>
      <c r="C22" s="3" t="s">
        <v>6</v>
      </c>
      <c r="D22" s="3" t="s">
        <v>7</v>
      </c>
      <c r="E22" s="3" t="s">
        <v>8</v>
      </c>
      <c r="F22" s="3" t="s">
        <v>9</v>
      </c>
      <c r="G22" s="3">
        <v>41137.599999999999</v>
      </c>
    </row>
    <row r="23" spans="1:7">
      <c r="A23" s="2">
        <v>105375</v>
      </c>
      <c r="B23" s="3">
        <v>2026</v>
      </c>
      <c r="C23" s="3" t="s">
        <v>6</v>
      </c>
      <c r="D23" s="3" t="s">
        <v>10</v>
      </c>
      <c r="E23" s="3" t="s">
        <v>8</v>
      </c>
      <c r="F23" s="3" t="s">
        <v>9</v>
      </c>
      <c r="G23" s="3">
        <v>41339.800000000003</v>
      </c>
    </row>
    <row r="24" spans="1:7" hidden="1">
      <c r="A24" s="2">
        <v>105750</v>
      </c>
      <c r="B24" s="3">
        <v>2026</v>
      </c>
      <c r="C24" s="3" t="s">
        <v>6</v>
      </c>
      <c r="D24" s="3" t="s">
        <v>11</v>
      </c>
      <c r="E24" s="3" t="s">
        <v>8</v>
      </c>
      <c r="F24" s="3" t="s">
        <v>9</v>
      </c>
      <c r="G24" s="3">
        <v>41339.9</v>
      </c>
    </row>
    <row r="25" spans="1:7" hidden="1">
      <c r="A25" s="2">
        <v>106125</v>
      </c>
      <c r="B25" s="3">
        <v>2026</v>
      </c>
      <c r="C25" s="3" t="s">
        <v>6</v>
      </c>
      <c r="D25" s="3" t="s">
        <v>12</v>
      </c>
      <c r="E25" s="3" t="s">
        <v>8</v>
      </c>
      <c r="F25" s="3" t="s">
        <v>9</v>
      </c>
      <c r="G25" s="3">
        <v>41339.9</v>
      </c>
    </row>
    <row r="26" spans="1:7" hidden="1">
      <c r="A26" s="2">
        <v>106500</v>
      </c>
      <c r="B26" s="3">
        <v>2026</v>
      </c>
      <c r="C26" s="3" t="s">
        <v>6</v>
      </c>
      <c r="D26" s="3" t="s">
        <v>13</v>
      </c>
      <c r="E26" s="3" t="s">
        <v>8</v>
      </c>
      <c r="F26" s="3" t="s">
        <v>9</v>
      </c>
      <c r="G26" s="3">
        <v>41339.9</v>
      </c>
    </row>
    <row r="27" spans="1:7" hidden="1">
      <c r="A27" s="2">
        <v>106875</v>
      </c>
      <c r="B27" s="3">
        <v>2026</v>
      </c>
      <c r="C27" s="3" t="s">
        <v>6</v>
      </c>
      <c r="D27" s="3" t="s">
        <v>14</v>
      </c>
      <c r="E27" s="3" t="s">
        <v>8</v>
      </c>
      <c r="F27" s="3" t="s">
        <v>9</v>
      </c>
      <c r="G27" s="3">
        <v>41339.699999999997</v>
      </c>
    </row>
    <row r="28" spans="1:7" hidden="1">
      <c r="A28" s="2">
        <v>107250</v>
      </c>
      <c r="B28" s="3">
        <v>2026</v>
      </c>
      <c r="C28" s="3" t="s">
        <v>6</v>
      </c>
      <c r="D28" s="3" t="s">
        <v>15</v>
      </c>
      <c r="E28" s="3" t="s">
        <v>8</v>
      </c>
      <c r="F28" s="3" t="s">
        <v>9</v>
      </c>
      <c r="G28" s="3">
        <v>41339.800000000003</v>
      </c>
    </row>
    <row r="29" spans="1:7" hidden="1">
      <c r="A29" s="2">
        <v>107625</v>
      </c>
      <c r="B29" s="3">
        <v>2026</v>
      </c>
      <c r="C29" s="3" t="s">
        <v>6</v>
      </c>
      <c r="D29" s="3" t="s">
        <v>16</v>
      </c>
      <c r="E29" s="3" t="s">
        <v>8</v>
      </c>
      <c r="F29" s="3" t="s">
        <v>9</v>
      </c>
      <c r="G29" s="3">
        <v>41814.400000000001</v>
      </c>
    </row>
    <row r="30" spans="1:7" hidden="1">
      <c r="A30" s="2">
        <v>108000</v>
      </c>
      <c r="B30" s="3">
        <v>2026</v>
      </c>
      <c r="C30" s="3" t="s">
        <v>6</v>
      </c>
      <c r="D30" s="3" t="s">
        <v>17</v>
      </c>
      <c r="E30" s="3" t="s">
        <v>8</v>
      </c>
      <c r="F30" s="3" t="s">
        <v>9</v>
      </c>
      <c r="G30" s="3">
        <v>41727.300000000003</v>
      </c>
    </row>
    <row r="31" spans="1:7" hidden="1">
      <c r="A31" s="2">
        <v>108375</v>
      </c>
      <c r="B31" s="3">
        <v>2026</v>
      </c>
      <c r="C31" s="3" t="s">
        <v>6</v>
      </c>
      <c r="D31" s="3" t="s">
        <v>18</v>
      </c>
      <c r="E31" s="3" t="s">
        <v>8</v>
      </c>
      <c r="F31" s="3" t="s">
        <v>9</v>
      </c>
      <c r="G31" s="3">
        <v>41224.9</v>
      </c>
    </row>
    <row r="32" spans="1:7" hidden="1">
      <c r="A32" s="2">
        <v>157500</v>
      </c>
      <c r="B32" s="3">
        <v>2027</v>
      </c>
      <c r="C32" s="3" t="s">
        <v>6</v>
      </c>
      <c r="D32" s="3" t="s">
        <v>7</v>
      </c>
      <c r="E32" s="3" t="s">
        <v>8</v>
      </c>
      <c r="F32" s="3" t="s">
        <v>9</v>
      </c>
      <c r="G32" s="3">
        <v>41131.4</v>
      </c>
    </row>
    <row r="33" spans="1:7">
      <c r="A33" s="2">
        <v>157875</v>
      </c>
      <c r="B33" s="3">
        <v>2027</v>
      </c>
      <c r="C33" s="3" t="s">
        <v>6</v>
      </c>
      <c r="D33" s="3" t="s">
        <v>10</v>
      </c>
      <c r="E33" s="3" t="s">
        <v>8</v>
      </c>
      <c r="F33" s="3" t="s">
        <v>9</v>
      </c>
      <c r="G33" s="3">
        <v>41449.800000000003</v>
      </c>
    </row>
    <row r="34" spans="1:7" hidden="1">
      <c r="A34" s="2">
        <v>158250</v>
      </c>
      <c r="B34" s="3">
        <v>2027</v>
      </c>
      <c r="C34" s="3" t="s">
        <v>6</v>
      </c>
      <c r="D34" s="3" t="s">
        <v>11</v>
      </c>
      <c r="E34" s="3" t="s">
        <v>8</v>
      </c>
      <c r="F34" s="3" t="s">
        <v>9</v>
      </c>
      <c r="G34" s="3">
        <v>41450.1</v>
      </c>
    </row>
    <row r="35" spans="1:7" hidden="1">
      <c r="A35" s="2">
        <v>158625</v>
      </c>
      <c r="B35" s="3">
        <v>2027</v>
      </c>
      <c r="C35" s="3" t="s">
        <v>6</v>
      </c>
      <c r="D35" s="3" t="s">
        <v>12</v>
      </c>
      <c r="E35" s="3" t="s">
        <v>8</v>
      </c>
      <c r="F35" s="3" t="s">
        <v>9</v>
      </c>
      <c r="G35" s="3">
        <v>41450</v>
      </c>
    </row>
    <row r="36" spans="1:7" hidden="1">
      <c r="A36" s="2">
        <v>159000</v>
      </c>
      <c r="B36" s="3">
        <v>2027</v>
      </c>
      <c r="C36" s="3" t="s">
        <v>6</v>
      </c>
      <c r="D36" s="3" t="s">
        <v>13</v>
      </c>
      <c r="E36" s="3" t="s">
        <v>8</v>
      </c>
      <c r="F36" s="3" t="s">
        <v>9</v>
      </c>
      <c r="G36" s="3">
        <v>41450.1</v>
      </c>
    </row>
    <row r="37" spans="1:7" hidden="1">
      <c r="A37" s="2">
        <v>159375</v>
      </c>
      <c r="B37" s="3">
        <v>2027</v>
      </c>
      <c r="C37" s="3" t="s">
        <v>6</v>
      </c>
      <c r="D37" s="3" t="s">
        <v>14</v>
      </c>
      <c r="E37" s="3" t="s">
        <v>8</v>
      </c>
      <c r="F37" s="3" t="s">
        <v>9</v>
      </c>
      <c r="G37" s="3">
        <v>41449.599999999999</v>
      </c>
    </row>
    <row r="38" spans="1:7" hidden="1">
      <c r="A38" s="2">
        <v>159750</v>
      </c>
      <c r="B38" s="3">
        <v>2027</v>
      </c>
      <c r="C38" s="3" t="s">
        <v>6</v>
      </c>
      <c r="D38" s="3" t="s">
        <v>15</v>
      </c>
      <c r="E38" s="3" t="s">
        <v>8</v>
      </c>
      <c r="F38" s="3" t="s">
        <v>9</v>
      </c>
      <c r="G38" s="3">
        <v>41449.800000000003</v>
      </c>
    </row>
    <row r="39" spans="1:7" hidden="1">
      <c r="A39" s="2">
        <v>160125</v>
      </c>
      <c r="B39" s="3">
        <v>2027</v>
      </c>
      <c r="C39" s="3" t="s">
        <v>6</v>
      </c>
      <c r="D39" s="3" t="s">
        <v>16</v>
      </c>
      <c r="E39" s="3" t="s">
        <v>8</v>
      </c>
      <c r="F39" s="3" t="s">
        <v>9</v>
      </c>
      <c r="G39" s="3">
        <v>42077</v>
      </c>
    </row>
    <row r="40" spans="1:7" hidden="1">
      <c r="A40" s="2">
        <v>160500</v>
      </c>
      <c r="B40" s="3">
        <v>2027</v>
      </c>
      <c r="C40" s="3" t="s">
        <v>6</v>
      </c>
      <c r="D40" s="3" t="s">
        <v>17</v>
      </c>
      <c r="E40" s="3" t="s">
        <v>8</v>
      </c>
      <c r="F40" s="3" t="s">
        <v>9</v>
      </c>
      <c r="G40" s="3">
        <v>41943.4</v>
      </c>
    </row>
    <row r="41" spans="1:7" hidden="1">
      <c r="A41" s="2">
        <v>160875</v>
      </c>
      <c r="B41" s="3">
        <v>2027</v>
      </c>
      <c r="C41" s="3" t="s">
        <v>6</v>
      </c>
      <c r="D41" s="3" t="s">
        <v>18</v>
      </c>
      <c r="E41" s="3" t="s">
        <v>8</v>
      </c>
      <c r="F41" s="3" t="s">
        <v>9</v>
      </c>
      <c r="G41" s="3">
        <v>41265.1</v>
      </c>
    </row>
    <row r="42" spans="1:7" hidden="1">
      <c r="A42" s="2">
        <v>210000</v>
      </c>
      <c r="B42" s="3">
        <v>2028</v>
      </c>
      <c r="C42" s="3" t="s">
        <v>6</v>
      </c>
      <c r="D42" s="3" t="s">
        <v>7</v>
      </c>
      <c r="E42" s="3" t="s">
        <v>8</v>
      </c>
      <c r="F42" s="3" t="s">
        <v>9</v>
      </c>
      <c r="G42" s="3">
        <v>41329.800000000003</v>
      </c>
    </row>
    <row r="43" spans="1:7">
      <c r="A43" s="2">
        <v>210375</v>
      </c>
      <c r="B43" s="3">
        <v>2028</v>
      </c>
      <c r="C43" s="3" t="s">
        <v>6</v>
      </c>
      <c r="D43" s="3" t="s">
        <v>10</v>
      </c>
      <c r="E43" s="3" t="s">
        <v>8</v>
      </c>
      <c r="F43" s="3" t="s">
        <v>9</v>
      </c>
      <c r="G43" s="3">
        <v>41784.699999999997</v>
      </c>
    </row>
    <row r="44" spans="1:7" hidden="1">
      <c r="A44" s="2">
        <v>210750</v>
      </c>
      <c r="B44" s="3">
        <v>2028</v>
      </c>
      <c r="C44" s="3" t="s">
        <v>6</v>
      </c>
      <c r="D44" s="3" t="s">
        <v>11</v>
      </c>
      <c r="E44" s="3" t="s">
        <v>8</v>
      </c>
      <c r="F44" s="3" t="s">
        <v>9</v>
      </c>
      <c r="G44" s="3">
        <v>41785.199999999997</v>
      </c>
    </row>
    <row r="45" spans="1:7" hidden="1">
      <c r="A45" s="2">
        <v>211125</v>
      </c>
      <c r="B45" s="3">
        <v>2028</v>
      </c>
      <c r="C45" s="3" t="s">
        <v>6</v>
      </c>
      <c r="D45" s="3" t="s">
        <v>12</v>
      </c>
      <c r="E45" s="3" t="s">
        <v>8</v>
      </c>
      <c r="F45" s="3" t="s">
        <v>9</v>
      </c>
      <c r="G45" s="3">
        <v>41785.1</v>
      </c>
    </row>
    <row r="46" spans="1:7" hidden="1">
      <c r="A46" s="2">
        <v>211500</v>
      </c>
      <c r="B46" s="3">
        <v>2028</v>
      </c>
      <c r="C46" s="3" t="s">
        <v>6</v>
      </c>
      <c r="D46" s="3" t="s">
        <v>13</v>
      </c>
      <c r="E46" s="3" t="s">
        <v>8</v>
      </c>
      <c r="F46" s="3" t="s">
        <v>9</v>
      </c>
      <c r="G46" s="3">
        <v>41785.199999999997</v>
      </c>
    </row>
    <row r="47" spans="1:7" hidden="1">
      <c r="A47" s="2">
        <v>211875</v>
      </c>
      <c r="B47" s="3">
        <v>2028</v>
      </c>
      <c r="C47" s="3" t="s">
        <v>6</v>
      </c>
      <c r="D47" s="3" t="s">
        <v>14</v>
      </c>
      <c r="E47" s="3" t="s">
        <v>8</v>
      </c>
      <c r="F47" s="3" t="s">
        <v>9</v>
      </c>
      <c r="G47" s="3">
        <v>41784.300000000003</v>
      </c>
    </row>
    <row r="48" spans="1:7" hidden="1">
      <c r="A48" s="2">
        <v>212250</v>
      </c>
      <c r="B48" s="3">
        <v>2028</v>
      </c>
      <c r="C48" s="3" t="s">
        <v>6</v>
      </c>
      <c r="D48" s="3" t="s">
        <v>15</v>
      </c>
      <c r="E48" s="3" t="s">
        <v>8</v>
      </c>
      <c r="F48" s="3" t="s">
        <v>9</v>
      </c>
      <c r="G48" s="3">
        <v>41784.699999999997</v>
      </c>
    </row>
    <row r="49" spans="1:7" hidden="1">
      <c r="A49" s="2">
        <v>212625</v>
      </c>
      <c r="B49" s="3">
        <v>2028</v>
      </c>
      <c r="C49" s="3" t="s">
        <v>6</v>
      </c>
      <c r="D49" s="3" t="s">
        <v>16</v>
      </c>
      <c r="E49" s="3" t="s">
        <v>8</v>
      </c>
      <c r="F49" s="3" t="s">
        <v>9</v>
      </c>
      <c r="G49" s="3">
        <v>42600.3</v>
      </c>
    </row>
    <row r="50" spans="1:7" hidden="1">
      <c r="A50" s="2">
        <v>213000</v>
      </c>
      <c r="B50" s="3">
        <v>2028</v>
      </c>
      <c r="C50" s="3" t="s">
        <v>6</v>
      </c>
      <c r="D50" s="3" t="s">
        <v>17</v>
      </c>
      <c r="E50" s="3" t="s">
        <v>8</v>
      </c>
      <c r="F50" s="3" t="s">
        <v>9</v>
      </c>
      <c r="G50" s="3">
        <v>42417.5</v>
      </c>
    </row>
    <row r="51" spans="1:7" hidden="1">
      <c r="A51" s="2">
        <v>213375</v>
      </c>
      <c r="B51" s="3">
        <v>2028</v>
      </c>
      <c r="C51" s="3" t="s">
        <v>6</v>
      </c>
      <c r="D51" s="3" t="s">
        <v>18</v>
      </c>
      <c r="E51" s="3" t="s">
        <v>8</v>
      </c>
      <c r="F51" s="3" t="s">
        <v>9</v>
      </c>
      <c r="G51" s="3">
        <v>41512.1</v>
      </c>
    </row>
    <row r="52" spans="1:7" hidden="1">
      <c r="A52" s="2">
        <v>262500</v>
      </c>
      <c r="B52" s="3">
        <v>2029</v>
      </c>
      <c r="C52" s="3" t="s">
        <v>6</v>
      </c>
      <c r="D52" s="3" t="s">
        <v>7</v>
      </c>
      <c r="E52" s="3" t="s">
        <v>8</v>
      </c>
      <c r="F52" s="3" t="s">
        <v>9</v>
      </c>
      <c r="G52" s="3">
        <v>41513.5</v>
      </c>
    </row>
    <row r="53" spans="1:7">
      <c r="A53" s="2">
        <v>262875</v>
      </c>
      <c r="B53" s="3">
        <v>2029</v>
      </c>
      <c r="C53" s="3" t="s">
        <v>6</v>
      </c>
      <c r="D53" s="3" t="s">
        <v>10</v>
      </c>
      <c r="E53" s="3" t="s">
        <v>8</v>
      </c>
      <c r="F53" s="3" t="s">
        <v>9</v>
      </c>
      <c r="G53" s="3">
        <v>42116.4</v>
      </c>
    </row>
    <row r="54" spans="1:7" hidden="1">
      <c r="A54" s="2">
        <v>263250</v>
      </c>
      <c r="B54" s="3">
        <v>2029</v>
      </c>
      <c r="C54" s="3" t="s">
        <v>6</v>
      </c>
      <c r="D54" s="3" t="s">
        <v>11</v>
      </c>
      <c r="E54" s="3" t="s">
        <v>8</v>
      </c>
      <c r="F54" s="3" t="s">
        <v>9</v>
      </c>
      <c r="G54" s="3">
        <v>42117.2</v>
      </c>
    </row>
    <row r="55" spans="1:7" hidden="1">
      <c r="A55" s="2">
        <v>263625</v>
      </c>
      <c r="B55" s="3">
        <v>2029</v>
      </c>
      <c r="C55" s="3" t="s">
        <v>6</v>
      </c>
      <c r="D55" s="3" t="s">
        <v>12</v>
      </c>
      <c r="E55" s="3" t="s">
        <v>8</v>
      </c>
      <c r="F55" s="3" t="s">
        <v>9</v>
      </c>
      <c r="G55" s="3">
        <v>42117.1</v>
      </c>
    </row>
    <row r="56" spans="1:7" hidden="1">
      <c r="A56" s="2">
        <v>264000</v>
      </c>
      <c r="B56" s="3">
        <v>2029</v>
      </c>
      <c r="C56" s="3" t="s">
        <v>6</v>
      </c>
      <c r="D56" s="3" t="s">
        <v>13</v>
      </c>
      <c r="E56" s="3" t="s">
        <v>8</v>
      </c>
      <c r="F56" s="3" t="s">
        <v>9</v>
      </c>
      <c r="G56" s="3">
        <v>42117.3</v>
      </c>
    </row>
    <row r="57" spans="1:7" hidden="1">
      <c r="A57" s="2">
        <v>264375</v>
      </c>
      <c r="B57" s="3">
        <v>2029</v>
      </c>
      <c r="C57" s="3" t="s">
        <v>6</v>
      </c>
      <c r="D57" s="3" t="s">
        <v>14</v>
      </c>
      <c r="E57" s="3" t="s">
        <v>8</v>
      </c>
      <c r="F57" s="3" t="s">
        <v>9</v>
      </c>
      <c r="G57" s="3">
        <v>42115.7</v>
      </c>
    </row>
    <row r="58" spans="1:7" hidden="1">
      <c r="A58" s="2">
        <v>264750</v>
      </c>
      <c r="B58" s="3">
        <v>2029</v>
      </c>
      <c r="C58" s="3" t="s">
        <v>6</v>
      </c>
      <c r="D58" s="3" t="s">
        <v>15</v>
      </c>
      <c r="E58" s="3" t="s">
        <v>8</v>
      </c>
      <c r="F58" s="3" t="s">
        <v>9</v>
      </c>
      <c r="G58" s="3">
        <v>42116.4</v>
      </c>
    </row>
    <row r="59" spans="1:7" hidden="1">
      <c r="A59" s="2">
        <v>265125</v>
      </c>
      <c r="B59" s="3">
        <v>2029</v>
      </c>
      <c r="C59" s="3" t="s">
        <v>6</v>
      </c>
      <c r="D59" s="3" t="s">
        <v>16</v>
      </c>
      <c r="E59" s="3" t="s">
        <v>8</v>
      </c>
      <c r="F59" s="3" t="s">
        <v>9</v>
      </c>
      <c r="G59" s="3">
        <v>43126.1</v>
      </c>
    </row>
    <row r="60" spans="1:7" hidden="1">
      <c r="A60" s="2">
        <v>265500</v>
      </c>
      <c r="B60" s="3">
        <v>2029</v>
      </c>
      <c r="C60" s="3" t="s">
        <v>6</v>
      </c>
      <c r="D60" s="3" t="s">
        <v>17</v>
      </c>
      <c r="E60" s="3" t="s">
        <v>8</v>
      </c>
      <c r="F60" s="3" t="s">
        <v>9</v>
      </c>
      <c r="G60" s="3">
        <v>42892.4</v>
      </c>
    </row>
    <row r="61" spans="1:7" hidden="1">
      <c r="A61" s="2">
        <v>265875</v>
      </c>
      <c r="B61" s="3">
        <v>2029</v>
      </c>
      <c r="C61" s="3" t="s">
        <v>6</v>
      </c>
      <c r="D61" s="3" t="s">
        <v>18</v>
      </c>
      <c r="E61" s="3" t="s">
        <v>8</v>
      </c>
      <c r="F61" s="3" t="s">
        <v>9</v>
      </c>
      <c r="G61" s="3">
        <v>41745.800000000003</v>
      </c>
    </row>
    <row r="62" spans="1:7" hidden="1">
      <c r="A62" s="2">
        <v>315000</v>
      </c>
      <c r="B62" s="3">
        <v>2030</v>
      </c>
      <c r="C62" s="3" t="s">
        <v>6</v>
      </c>
      <c r="D62" s="3" t="s">
        <v>7</v>
      </c>
      <c r="E62" s="3" t="s">
        <v>8</v>
      </c>
      <c r="F62" s="3" t="s">
        <v>9</v>
      </c>
      <c r="G62" s="3">
        <v>41684.9</v>
      </c>
    </row>
    <row r="63" spans="1:7">
      <c r="A63" s="2">
        <v>315375</v>
      </c>
      <c r="B63" s="3">
        <v>2030</v>
      </c>
      <c r="C63" s="3" t="s">
        <v>6</v>
      </c>
      <c r="D63" s="3" t="s">
        <v>10</v>
      </c>
      <c r="E63" s="3" t="s">
        <v>8</v>
      </c>
      <c r="F63" s="3" t="s">
        <v>9</v>
      </c>
      <c r="G63" s="3">
        <v>42446.400000000001</v>
      </c>
    </row>
    <row r="64" spans="1:7" hidden="1">
      <c r="A64" s="2">
        <v>315750</v>
      </c>
      <c r="B64" s="3">
        <v>2030</v>
      </c>
      <c r="C64" s="3" t="s">
        <v>6</v>
      </c>
      <c r="D64" s="3" t="s">
        <v>11</v>
      </c>
      <c r="E64" s="3" t="s">
        <v>8</v>
      </c>
      <c r="F64" s="3" t="s">
        <v>9</v>
      </c>
      <c r="G64" s="3">
        <v>42447.5</v>
      </c>
    </row>
    <row r="65" spans="1:7" hidden="1">
      <c r="A65" s="2">
        <v>316125</v>
      </c>
      <c r="B65" s="3">
        <v>2030</v>
      </c>
      <c r="C65" s="3" t="s">
        <v>6</v>
      </c>
      <c r="D65" s="3" t="s">
        <v>12</v>
      </c>
      <c r="E65" s="3" t="s">
        <v>8</v>
      </c>
      <c r="F65" s="3" t="s">
        <v>9</v>
      </c>
      <c r="G65" s="3">
        <v>42447.199999999997</v>
      </c>
    </row>
    <row r="66" spans="1:7" hidden="1">
      <c r="A66" s="2">
        <v>316500</v>
      </c>
      <c r="B66" s="3">
        <v>2030</v>
      </c>
      <c r="C66" s="3" t="s">
        <v>6</v>
      </c>
      <c r="D66" s="3" t="s">
        <v>13</v>
      </c>
      <c r="E66" s="3" t="s">
        <v>8</v>
      </c>
      <c r="F66" s="3" t="s">
        <v>9</v>
      </c>
      <c r="G66" s="3">
        <v>42447.5</v>
      </c>
    </row>
    <row r="67" spans="1:7" hidden="1">
      <c r="A67" s="2">
        <v>316875</v>
      </c>
      <c r="B67" s="3">
        <v>2030</v>
      </c>
      <c r="C67" s="3" t="s">
        <v>6</v>
      </c>
      <c r="D67" s="3" t="s">
        <v>14</v>
      </c>
      <c r="E67" s="3" t="s">
        <v>8</v>
      </c>
      <c r="F67" s="3" t="s">
        <v>9</v>
      </c>
      <c r="G67" s="3">
        <v>42445.3</v>
      </c>
    </row>
    <row r="68" spans="1:7" hidden="1">
      <c r="A68" s="2">
        <v>317250</v>
      </c>
      <c r="B68" s="3">
        <v>2030</v>
      </c>
      <c r="C68" s="3" t="s">
        <v>6</v>
      </c>
      <c r="D68" s="3" t="s">
        <v>15</v>
      </c>
      <c r="E68" s="3" t="s">
        <v>8</v>
      </c>
      <c r="F68" s="3" t="s">
        <v>9</v>
      </c>
      <c r="G68" s="3">
        <v>42446.3</v>
      </c>
    </row>
    <row r="69" spans="1:7" hidden="1">
      <c r="A69" s="2">
        <v>317625</v>
      </c>
      <c r="B69" s="3">
        <v>2030</v>
      </c>
      <c r="C69" s="3" t="s">
        <v>6</v>
      </c>
      <c r="D69" s="3" t="s">
        <v>16</v>
      </c>
      <c r="E69" s="3" t="s">
        <v>8</v>
      </c>
      <c r="F69" s="3" t="s">
        <v>9</v>
      </c>
      <c r="G69" s="3">
        <v>43657.3</v>
      </c>
    </row>
    <row r="70" spans="1:7" hidden="1">
      <c r="A70" s="2">
        <v>318000</v>
      </c>
      <c r="B70" s="3">
        <v>2030</v>
      </c>
      <c r="C70" s="3" t="s">
        <v>6</v>
      </c>
      <c r="D70" s="3" t="s">
        <v>17</v>
      </c>
      <c r="E70" s="3" t="s">
        <v>8</v>
      </c>
      <c r="F70" s="3" t="s">
        <v>9</v>
      </c>
      <c r="G70" s="3">
        <v>43371</v>
      </c>
    </row>
    <row r="71" spans="1:7" hidden="1">
      <c r="A71" s="2">
        <v>318375</v>
      </c>
      <c r="B71" s="3">
        <v>2030</v>
      </c>
      <c r="C71" s="3" t="s">
        <v>6</v>
      </c>
      <c r="D71" s="3" t="s">
        <v>18</v>
      </c>
      <c r="E71" s="3" t="s">
        <v>8</v>
      </c>
      <c r="F71" s="3" t="s">
        <v>9</v>
      </c>
      <c r="G71" s="3">
        <v>41968.2</v>
      </c>
    </row>
    <row r="72" spans="1:7" hidden="1">
      <c r="A72" s="2">
        <v>367500</v>
      </c>
      <c r="B72" s="3">
        <v>2031</v>
      </c>
      <c r="C72" s="3" t="s">
        <v>6</v>
      </c>
      <c r="D72" s="3" t="s">
        <v>7</v>
      </c>
      <c r="E72" s="3" t="s">
        <v>8</v>
      </c>
      <c r="F72" s="3" t="s">
        <v>9</v>
      </c>
      <c r="G72" s="3">
        <v>41845.9</v>
      </c>
    </row>
    <row r="73" spans="1:7">
      <c r="A73" s="2">
        <v>367875</v>
      </c>
      <c r="B73" s="3">
        <v>2031</v>
      </c>
      <c r="C73" s="3" t="s">
        <v>6</v>
      </c>
      <c r="D73" s="3" t="s">
        <v>10</v>
      </c>
      <c r="E73" s="3" t="s">
        <v>8</v>
      </c>
      <c r="F73" s="3" t="s">
        <v>9</v>
      </c>
      <c r="G73" s="3">
        <v>42775.5</v>
      </c>
    </row>
    <row r="74" spans="1:7" hidden="1">
      <c r="A74" s="2">
        <v>368250</v>
      </c>
      <c r="B74" s="3">
        <v>2031</v>
      </c>
      <c r="C74" s="3" t="s">
        <v>6</v>
      </c>
      <c r="D74" s="3" t="s">
        <v>11</v>
      </c>
      <c r="E74" s="3" t="s">
        <v>8</v>
      </c>
      <c r="F74" s="3" t="s">
        <v>9</v>
      </c>
      <c r="G74" s="3">
        <v>42777</v>
      </c>
    </row>
    <row r="75" spans="1:7" hidden="1">
      <c r="A75" s="2">
        <v>368625</v>
      </c>
      <c r="B75" s="3">
        <v>2031</v>
      </c>
      <c r="C75" s="3" t="s">
        <v>6</v>
      </c>
      <c r="D75" s="3" t="s">
        <v>12</v>
      </c>
      <c r="E75" s="3" t="s">
        <v>8</v>
      </c>
      <c r="F75" s="3" t="s">
        <v>9</v>
      </c>
      <c r="G75" s="3">
        <v>42776.6</v>
      </c>
    </row>
    <row r="76" spans="1:7" hidden="1">
      <c r="A76" s="2">
        <v>369000</v>
      </c>
      <c r="B76" s="3">
        <v>2031</v>
      </c>
      <c r="C76" s="3" t="s">
        <v>6</v>
      </c>
      <c r="D76" s="3" t="s">
        <v>13</v>
      </c>
      <c r="E76" s="3" t="s">
        <v>8</v>
      </c>
      <c r="F76" s="3" t="s">
        <v>9</v>
      </c>
      <c r="G76" s="3">
        <v>42777</v>
      </c>
    </row>
    <row r="77" spans="1:7" hidden="1">
      <c r="A77" s="2">
        <v>369375</v>
      </c>
      <c r="B77" s="3">
        <v>2031</v>
      </c>
      <c r="C77" s="3" t="s">
        <v>6</v>
      </c>
      <c r="D77" s="3" t="s">
        <v>14</v>
      </c>
      <c r="E77" s="3" t="s">
        <v>8</v>
      </c>
      <c r="F77" s="3" t="s">
        <v>9</v>
      </c>
      <c r="G77" s="3">
        <v>42774.1</v>
      </c>
    </row>
    <row r="78" spans="1:7" hidden="1">
      <c r="A78" s="2">
        <v>369750</v>
      </c>
      <c r="B78" s="3">
        <v>2031</v>
      </c>
      <c r="C78" s="3" t="s">
        <v>6</v>
      </c>
      <c r="D78" s="3" t="s">
        <v>15</v>
      </c>
      <c r="E78" s="3" t="s">
        <v>8</v>
      </c>
      <c r="F78" s="3" t="s">
        <v>9</v>
      </c>
      <c r="G78" s="3">
        <v>42775.5</v>
      </c>
    </row>
    <row r="79" spans="1:7" hidden="1">
      <c r="A79" s="2">
        <v>370125</v>
      </c>
      <c r="B79" s="3">
        <v>2031</v>
      </c>
      <c r="C79" s="3" t="s">
        <v>6</v>
      </c>
      <c r="D79" s="3" t="s">
        <v>16</v>
      </c>
      <c r="E79" s="3" t="s">
        <v>8</v>
      </c>
      <c r="F79" s="3" t="s">
        <v>9</v>
      </c>
      <c r="G79" s="3">
        <v>44196</v>
      </c>
    </row>
    <row r="80" spans="1:7" hidden="1">
      <c r="A80" s="2">
        <v>370500</v>
      </c>
      <c r="B80" s="3">
        <v>2031</v>
      </c>
      <c r="C80" s="3" t="s">
        <v>6</v>
      </c>
      <c r="D80" s="3" t="s">
        <v>17</v>
      </c>
      <c r="E80" s="3" t="s">
        <v>8</v>
      </c>
      <c r="F80" s="3" t="s">
        <v>9</v>
      </c>
      <c r="G80" s="3">
        <v>43855.8</v>
      </c>
    </row>
    <row r="81" spans="1:7" hidden="1">
      <c r="A81" s="2">
        <v>370875</v>
      </c>
      <c r="B81" s="3">
        <v>2031</v>
      </c>
      <c r="C81" s="3" t="s">
        <v>6</v>
      </c>
      <c r="D81" s="3" t="s">
        <v>18</v>
      </c>
      <c r="E81" s="3" t="s">
        <v>8</v>
      </c>
      <c r="F81" s="3" t="s">
        <v>9</v>
      </c>
      <c r="G81" s="3">
        <v>42181.3</v>
      </c>
    </row>
    <row r="82" spans="1:7" hidden="1">
      <c r="A82" s="2">
        <v>420000</v>
      </c>
      <c r="B82" s="3">
        <v>2032</v>
      </c>
      <c r="C82" s="3" t="s">
        <v>6</v>
      </c>
      <c r="D82" s="3" t="s">
        <v>7</v>
      </c>
      <c r="E82" s="3" t="s">
        <v>8</v>
      </c>
      <c r="F82" s="3" t="s">
        <v>9</v>
      </c>
      <c r="G82" s="3">
        <v>41998.1</v>
      </c>
    </row>
    <row r="83" spans="1:7">
      <c r="A83" s="2">
        <v>420375</v>
      </c>
      <c r="B83" s="3">
        <v>2032</v>
      </c>
      <c r="C83" s="3" t="s">
        <v>6</v>
      </c>
      <c r="D83" s="3" t="s">
        <v>10</v>
      </c>
      <c r="E83" s="3" t="s">
        <v>8</v>
      </c>
      <c r="F83" s="3" t="s">
        <v>9</v>
      </c>
      <c r="G83" s="3">
        <v>43104.800000000003</v>
      </c>
    </row>
    <row r="84" spans="1:7" hidden="1">
      <c r="A84" s="2">
        <v>420750</v>
      </c>
      <c r="B84" s="3">
        <v>2032</v>
      </c>
      <c r="C84" s="3" t="s">
        <v>6</v>
      </c>
      <c r="D84" s="3" t="s">
        <v>11</v>
      </c>
      <c r="E84" s="3" t="s">
        <v>8</v>
      </c>
      <c r="F84" s="3" t="s">
        <v>9</v>
      </c>
      <c r="G84" s="3">
        <v>43106.7</v>
      </c>
    </row>
    <row r="85" spans="1:7" hidden="1">
      <c r="A85" s="2">
        <v>421125</v>
      </c>
      <c r="B85" s="3">
        <v>2032</v>
      </c>
      <c r="C85" s="3" t="s">
        <v>6</v>
      </c>
      <c r="D85" s="3" t="s">
        <v>12</v>
      </c>
      <c r="E85" s="3" t="s">
        <v>8</v>
      </c>
      <c r="F85" s="3" t="s">
        <v>9</v>
      </c>
      <c r="G85" s="3">
        <v>43106.2</v>
      </c>
    </row>
    <row r="86" spans="1:7" hidden="1">
      <c r="A86" s="2">
        <v>421500</v>
      </c>
      <c r="B86" s="3">
        <v>2032</v>
      </c>
      <c r="C86" s="3" t="s">
        <v>6</v>
      </c>
      <c r="D86" s="3" t="s">
        <v>13</v>
      </c>
      <c r="E86" s="3" t="s">
        <v>8</v>
      </c>
      <c r="F86" s="3" t="s">
        <v>9</v>
      </c>
      <c r="G86" s="3">
        <v>43106.7</v>
      </c>
    </row>
    <row r="87" spans="1:7" hidden="1">
      <c r="A87" s="2">
        <v>421875</v>
      </c>
      <c r="B87" s="3">
        <v>2032</v>
      </c>
      <c r="C87" s="3" t="s">
        <v>6</v>
      </c>
      <c r="D87" s="3" t="s">
        <v>14</v>
      </c>
      <c r="E87" s="3" t="s">
        <v>8</v>
      </c>
      <c r="F87" s="3" t="s">
        <v>9</v>
      </c>
      <c r="G87" s="3">
        <v>43102.9</v>
      </c>
    </row>
    <row r="88" spans="1:7" hidden="1">
      <c r="A88" s="2">
        <v>422250</v>
      </c>
      <c r="B88" s="3">
        <v>2032</v>
      </c>
      <c r="C88" s="3" t="s">
        <v>6</v>
      </c>
      <c r="D88" s="3" t="s">
        <v>15</v>
      </c>
      <c r="E88" s="3" t="s">
        <v>8</v>
      </c>
      <c r="F88" s="3" t="s">
        <v>9</v>
      </c>
      <c r="G88" s="3">
        <v>43104.800000000003</v>
      </c>
    </row>
    <row r="89" spans="1:7" hidden="1">
      <c r="A89" s="2">
        <v>422625</v>
      </c>
      <c r="B89" s="3">
        <v>2032</v>
      </c>
      <c r="C89" s="3" t="s">
        <v>6</v>
      </c>
      <c r="D89" s="3" t="s">
        <v>16</v>
      </c>
      <c r="E89" s="3" t="s">
        <v>8</v>
      </c>
      <c r="F89" s="3" t="s">
        <v>9</v>
      </c>
      <c r="G89" s="3">
        <v>44744</v>
      </c>
    </row>
    <row r="90" spans="1:7" hidden="1">
      <c r="A90" s="2">
        <v>423000</v>
      </c>
      <c r="B90" s="3">
        <v>2032</v>
      </c>
      <c r="C90" s="3" t="s">
        <v>6</v>
      </c>
      <c r="D90" s="3" t="s">
        <v>17</v>
      </c>
      <c r="E90" s="3" t="s">
        <v>8</v>
      </c>
      <c r="F90" s="3" t="s">
        <v>9</v>
      </c>
      <c r="G90" s="3">
        <v>44348.4</v>
      </c>
    </row>
    <row r="91" spans="1:7" hidden="1">
      <c r="A91" s="2">
        <v>423375</v>
      </c>
      <c r="B91" s="3">
        <v>2032</v>
      </c>
      <c r="C91" s="3" t="s">
        <v>6</v>
      </c>
      <c r="D91" s="3" t="s">
        <v>18</v>
      </c>
      <c r="E91" s="3" t="s">
        <v>8</v>
      </c>
      <c r="F91" s="3" t="s">
        <v>9</v>
      </c>
      <c r="G91" s="3">
        <v>42386.400000000001</v>
      </c>
    </row>
    <row r="92" spans="1:7" hidden="1">
      <c r="A92" s="2">
        <v>472500</v>
      </c>
      <c r="B92" s="3">
        <v>2033</v>
      </c>
      <c r="C92" s="3" t="s">
        <v>6</v>
      </c>
      <c r="D92" s="3" t="s">
        <v>7</v>
      </c>
      <c r="E92" s="3" t="s">
        <v>8</v>
      </c>
      <c r="F92" s="3" t="s">
        <v>9</v>
      </c>
      <c r="G92" s="3">
        <v>42142.5</v>
      </c>
    </row>
    <row r="93" spans="1:7">
      <c r="A93" s="2">
        <v>472875</v>
      </c>
      <c r="B93" s="3">
        <v>2033</v>
      </c>
      <c r="C93" s="3" t="s">
        <v>6</v>
      </c>
      <c r="D93" s="3" t="s">
        <v>10</v>
      </c>
      <c r="E93" s="3" t="s">
        <v>8</v>
      </c>
      <c r="F93" s="3" t="s">
        <v>9</v>
      </c>
      <c r="G93" s="3">
        <v>43435.1</v>
      </c>
    </row>
    <row r="94" spans="1:7" hidden="1">
      <c r="A94" s="2">
        <v>473250</v>
      </c>
      <c r="B94" s="3">
        <v>2033</v>
      </c>
      <c r="C94" s="3" t="s">
        <v>6</v>
      </c>
      <c r="D94" s="3" t="s">
        <v>11</v>
      </c>
      <c r="E94" s="3" t="s">
        <v>8</v>
      </c>
      <c r="F94" s="3" t="s">
        <v>9</v>
      </c>
      <c r="G94" s="3">
        <v>43437.4</v>
      </c>
    </row>
    <row r="95" spans="1:7" hidden="1">
      <c r="A95" s="2">
        <v>473625</v>
      </c>
      <c r="B95" s="3">
        <v>2033</v>
      </c>
      <c r="C95" s="3" t="s">
        <v>6</v>
      </c>
      <c r="D95" s="3" t="s">
        <v>12</v>
      </c>
      <c r="E95" s="3" t="s">
        <v>8</v>
      </c>
      <c r="F95" s="3" t="s">
        <v>9</v>
      </c>
      <c r="G95" s="3">
        <v>43436.9</v>
      </c>
    </row>
    <row r="96" spans="1:7" hidden="1">
      <c r="A96" s="2">
        <v>474000</v>
      </c>
      <c r="B96" s="3">
        <v>2033</v>
      </c>
      <c r="C96" s="3" t="s">
        <v>6</v>
      </c>
      <c r="D96" s="3" t="s">
        <v>13</v>
      </c>
      <c r="E96" s="3" t="s">
        <v>8</v>
      </c>
      <c r="F96" s="3" t="s">
        <v>9</v>
      </c>
      <c r="G96" s="3">
        <v>43437.599999999999</v>
      </c>
    </row>
    <row r="97" spans="1:7" hidden="1">
      <c r="A97" s="2">
        <v>474375</v>
      </c>
      <c r="B97" s="3">
        <v>2033</v>
      </c>
      <c r="C97" s="3" t="s">
        <v>6</v>
      </c>
      <c r="D97" s="3" t="s">
        <v>14</v>
      </c>
      <c r="E97" s="3" t="s">
        <v>8</v>
      </c>
      <c r="F97" s="3" t="s">
        <v>9</v>
      </c>
      <c r="G97" s="3">
        <v>43432.800000000003</v>
      </c>
    </row>
    <row r="98" spans="1:7" hidden="1">
      <c r="A98" s="2">
        <v>474750</v>
      </c>
      <c r="B98" s="3">
        <v>2033</v>
      </c>
      <c r="C98" s="3" t="s">
        <v>6</v>
      </c>
      <c r="D98" s="3" t="s">
        <v>15</v>
      </c>
      <c r="E98" s="3" t="s">
        <v>8</v>
      </c>
      <c r="F98" s="3" t="s">
        <v>9</v>
      </c>
      <c r="G98" s="3">
        <v>43435.1</v>
      </c>
    </row>
    <row r="99" spans="1:7" hidden="1">
      <c r="A99" s="2">
        <v>475125</v>
      </c>
      <c r="B99" s="3">
        <v>2033</v>
      </c>
      <c r="C99" s="3" t="s">
        <v>6</v>
      </c>
      <c r="D99" s="3" t="s">
        <v>16</v>
      </c>
      <c r="E99" s="3" t="s">
        <v>8</v>
      </c>
      <c r="F99" s="3" t="s">
        <v>9</v>
      </c>
      <c r="G99" s="3">
        <v>45302.5</v>
      </c>
    </row>
    <row r="100" spans="1:7" hidden="1">
      <c r="A100" s="2">
        <v>475500</v>
      </c>
      <c r="B100" s="3">
        <v>2033</v>
      </c>
      <c r="C100" s="3" t="s">
        <v>6</v>
      </c>
      <c r="D100" s="3" t="s">
        <v>17</v>
      </c>
      <c r="E100" s="3" t="s">
        <v>8</v>
      </c>
      <c r="F100" s="3" t="s">
        <v>9</v>
      </c>
      <c r="G100" s="3">
        <v>44849.9</v>
      </c>
    </row>
    <row r="101" spans="1:7" hidden="1">
      <c r="A101" s="2">
        <v>475875</v>
      </c>
      <c r="B101" s="3">
        <v>2033</v>
      </c>
      <c r="C101" s="3" t="s">
        <v>6</v>
      </c>
      <c r="D101" s="3" t="s">
        <v>18</v>
      </c>
      <c r="E101" s="3" t="s">
        <v>8</v>
      </c>
      <c r="F101" s="3" t="s">
        <v>9</v>
      </c>
      <c r="G101" s="3">
        <v>42584.4</v>
      </c>
    </row>
    <row r="102" spans="1:7" hidden="1">
      <c r="A102" s="2">
        <v>525000</v>
      </c>
      <c r="B102" s="3">
        <v>2034</v>
      </c>
      <c r="C102" s="3" t="s">
        <v>6</v>
      </c>
      <c r="D102" s="3" t="s">
        <v>7</v>
      </c>
      <c r="E102" s="3" t="s">
        <v>8</v>
      </c>
      <c r="F102" s="3" t="s">
        <v>9</v>
      </c>
      <c r="G102" s="3">
        <v>42278.5</v>
      </c>
    </row>
    <row r="103" spans="1:7">
      <c r="A103" s="2">
        <v>525375</v>
      </c>
      <c r="B103" s="3">
        <v>2034</v>
      </c>
      <c r="C103" s="3" t="s">
        <v>6</v>
      </c>
      <c r="D103" s="3" t="s">
        <v>10</v>
      </c>
      <c r="E103" s="3" t="s">
        <v>8</v>
      </c>
      <c r="F103" s="3" t="s">
        <v>9</v>
      </c>
      <c r="G103" s="3">
        <v>43765.7</v>
      </c>
    </row>
    <row r="104" spans="1:7" hidden="1">
      <c r="A104" s="2">
        <v>525750</v>
      </c>
      <c r="B104" s="3">
        <v>2034</v>
      </c>
      <c r="C104" s="3" t="s">
        <v>6</v>
      </c>
      <c r="D104" s="3" t="s">
        <v>11</v>
      </c>
      <c r="E104" s="3" t="s">
        <v>8</v>
      </c>
      <c r="F104" s="3" t="s">
        <v>9</v>
      </c>
      <c r="G104" s="3">
        <v>43768.5</v>
      </c>
    </row>
    <row r="105" spans="1:7" hidden="1">
      <c r="A105" s="2">
        <v>526125</v>
      </c>
      <c r="B105" s="3">
        <v>2034</v>
      </c>
      <c r="C105" s="3" t="s">
        <v>6</v>
      </c>
      <c r="D105" s="3" t="s">
        <v>12</v>
      </c>
      <c r="E105" s="3" t="s">
        <v>8</v>
      </c>
      <c r="F105" s="3" t="s">
        <v>9</v>
      </c>
      <c r="G105" s="3">
        <v>43767.8</v>
      </c>
    </row>
    <row r="106" spans="1:7" hidden="1">
      <c r="A106" s="2">
        <v>526500</v>
      </c>
      <c r="B106" s="3">
        <v>2034</v>
      </c>
      <c r="C106" s="3" t="s">
        <v>6</v>
      </c>
      <c r="D106" s="3" t="s">
        <v>13</v>
      </c>
      <c r="E106" s="3" t="s">
        <v>8</v>
      </c>
      <c r="F106" s="3" t="s">
        <v>9</v>
      </c>
      <c r="G106" s="3">
        <v>43768.6</v>
      </c>
    </row>
    <row r="107" spans="1:7" hidden="1">
      <c r="A107" s="2">
        <v>526875</v>
      </c>
      <c r="B107" s="3">
        <v>2034</v>
      </c>
      <c r="C107" s="3" t="s">
        <v>6</v>
      </c>
      <c r="D107" s="3" t="s">
        <v>14</v>
      </c>
      <c r="E107" s="3" t="s">
        <v>8</v>
      </c>
      <c r="F107" s="3" t="s">
        <v>9</v>
      </c>
      <c r="G107" s="3">
        <v>43762.7</v>
      </c>
    </row>
    <row r="108" spans="1:7" hidden="1">
      <c r="A108" s="2">
        <v>527250</v>
      </c>
      <c r="B108" s="3">
        <v>2034</v>
      </c>
      <c r="C108" s="3" t="s">
        <v>6</v>
      </c>
      <c r="D108" s="3" t="s">
        <v>15</v>
      </c>
      <c r="E108" s="3" t="s">
        <v>8</v>
      </c>
      <c r="F108" s="3" t="s">
        <v>9</v>
      </c>
      <c r="G108" s="3">
        <v>43765.7</v>
      </c>
    </row>
    <row r="109" spans="1:7" hidden="1">
      <c r="A109" s="2">
        <v>527625</v>
      </c>
      <c r="B109" s="3">
        <v>2034</v>
      </c>
      <c r="C109" s="3" t="s">
        <v>6</v>
      </c>
      <c r="D109" s="3" t="s">
        <v>16</v>
      </c>
      <c r="E109" s="3" t="s">
        <v>8</v>
      </c>
      <c r="F109" s="3" t="s">
        <v>9</v>
      </c>
      <c r="G109" s="3">
        <v>45870.7</v>
      </c>
    </row>
    <row r="110" spans="1:7" hidden="1">
      <c r="A110" s="2">
        <v>528000</v>
      </c>
      <c r="B110" s="3">
        <v>2034</v>
      </c>
      <c r="C110" s="3" t="s">
        <v>6</v>
      </c>
      <c r="D110" s="3" t="s">
        <v>17</v>
      </c>
      <c r="E110" s="3" t="s">
        <v>8</v>
      </c>
      <c r="F110" s="3" t="s">
        <v>9</v>
      </c>
      <c r="G110" s="3">
        <v>45360.2</v>
      </c>
    </row>
    <row r="111" spans="1:7" hidden="1">
      <c r="A111" s="2">
        <v>528375</v>
      </c>
      <c r="B111" s="3">
        <v>2034</v>
      </c>
      <c r="C111" s="3" t="s">
        <v>6</v>
      </c>
      <c r="D111" s="3" t="s">
        <v>18</v>
      </c>
      <c r="E111" s="3" t="s">
        <v>8</v>
      </c>
      <c r="F111" s="3" t="s">
        <v>9</v>
      </c>
      <c r="G111" s="3">
        <v>42774.5</v>
      </c>
    </row>
    <row r="112" spans="1:7" hidden="1">
      <c r="A112" s="2">
        <v>577500</v>
      </c>
      <c r="B112" s="3">
        <v>2035</v>
      </c>
      <c r="C112" s="3" t="s">
        <v>6</v>
      </c>
      <c r="D112" s="3" t="s">
        <v>7</v>
      </c>
      <c r="E112" s="3" t="s">
        <v>8</v>
      </c>
      <c r="F112" s="3" t="s">
        <v>9</v>
      </c>
      <c r="G112" s="3">
        <v>42405.3</v>
      </c>
    </row>
    <row r="113" spans="1:7">
      <c r="A113" s="2">
        <v>577875</v>
      </c>
      <c r="B113" s="3">
        <v>2035</v>
      </c>
      <c r="C113" s="3" t="s">
        <v>6</v>
      </c>
      <c r="D113" s="3" t="s">
        <v>10</v>
      </c>
      <c r="E113" s="3" t="s">
        <v>8</v>
      </c>
      <c r="F113" s="3" t="s">
        <v>9</v>
      </c>
      <c r="G113" s="3">
        <v>44095.5</v>
      </c>
    </row>
    <row r="114" spans="1:7" hidden="1">
      <c r="A114" s="2">
        <v>578250</v>
      </c>
      <c r="B114" s="3">
        <v>2035</v>
      </c>
      <c r="C114" s="3" t="s">
        <v>6</v>
      </c>
      <c r="D114" s="3" t="s">
        <v>11</v>
      </c>
      <c r="E114" s="3" t="s">
        <v>8</v>
      </c>
      <c r="F114" s="3" t="s">
        <v>9</v>
      </c>
      <c r="G114" s="3">
        <v>44098.8</v>
      </c>
    </row>
    <row r="115" spans="1:7" hidden="1">
      <c r="A115" s="2">
        <v>578625</v>
      </c>
      <c r="B115" s="3">
        <v>2035</v>
      </c>
      <c r="C115" s="3" t="s">
        <v>6</v>
      </c>
      <c r="D115" s="3" t="s">
        <v>12</v>
      </c>
      <c r="E115" s="3" t="s">
        <v>8</v>
      </c>
      <c r="F115" s="3" t="s">
        <v>9</v>
      </c>
      <c r="G115" s="3">
        <v>44098.1</v>
      </c>
    </row>
    <row r="116" spans="1:7" hidden="1">
      <c r="A116" s="2">
        <v>579000</v>
      </c>
      <c r="B116" s="3">
        <v>2035</v>
      </c>
      <c r="C116" s="3" t="s">
        <v>6</v>
      </c>
      <c r="D116" s="3" t="s">
        <v>13</v>
      </c>
      <c r="E116" s="3" t="s">
        <v>8</v>
      </c>
      <c r="F116" s="3" t="s">
        <v>9</v>
      </c>
      <c r="G116" s="3">
        <v>44099</v>
      </c>
    </row>
    <row r="117" spans="1:7" hidden="1">
      <c r="A117" s="2">
        <v>579375</v>
      </c>
      <c r="B117" s="3">
        <v>2035</v>
      </c>
      <c r="C117" s="3" t="s">
        <v>6</v>
      </c>
      <c r="D117" s="3" t="s">
        <v>14</v>
      </c>
      <c r="E117" s="3" t="s">
        <v>8</v>
      </c>
      <c r="F117" s="3" t="s">
        <v>9</v>
      </c>
      <c r="G117" s="3">
        <v>44091.9</v>
      </c>
    </row>
    <row r="118" spans="1:7" hidden="1">
      <c r="A118" s="2">
        <v>579750</v>
      </c>
      <c r="B118" s="3">
        <v>2035</v>
      </c>
      <c r="C118" s="3" t="s">
        <v>6</v>
      </c>
      <c r="D118" s="3" t="s">
        <v>15</v>
      </c>
      <c r="E118" s="3" t="s">
        <v>8</v>
      </c>
      <c r="F118" s="3" t="s">
        <v>9</v>
      </c>
      <c r="G118" s="3">
        <v>44095.6</v>
      </c>
    </row>
    <row r="119" spans="1:7" hidden="1">
      <c r="A119" s="2">
        <v>580125</v>
      </c>
      <c r="B119" s="3">
        <v>2035</v>
      </c>
      <c r="C119" s="3" t="s">
        <v>6</v>
      </c>
      <c r="D119" s="3" t="s">
        <v>16</v>
      </c>
      <c r="E119" s="3" t="s">
        <v>8</v>
      </c>
      <c r="F119" s="3" t="s">
        <v>9</v>
      </c>
      <c r="G119" s="3">
        <v>46448.1</v>
      </c>
    </row>
    <row r="120" spans="1:7" hidden="1">
      <c r="A120" s="2">
        <v>580500</v>
      </c>
      <c r="B120" s="3">
        <v>2035</v>
      </c>
      <c r="C120" s="3" t="s">
        <v>6</v>
      </c>
      <c r="D120" s="3" t="s">
        <v>17</v>
      </c>
      <c r="E120" s="3" t="s">
        <v>8</v>
      </c>
      <c r="F120" s="3" t="s">
        <v>9</v>
      </c>
      <c r="G120" s="3">
        <v>45878.3</v>
      </c>
    </row>
    <row r="121" spans="1:7" hidden="1">
      <c r="A121" s="2">
        <v>580875</v>
      </c>
      <c r="B121" s="3">
        <v>2035</v>
      </c>
      <c r="C121" s="3" t="s">
        <v>6</v>
      </c>
      <c r="D121" s="3" t="s">
        <v>18</v>
      </c>
      <c r="E121" s="3" t="s">
        <v>8</v>
      </c>
      <c r="F121" s="3" t="s">
        <v>9</v>
      </c>
      <c r="G121" s="3">
        <v>42955.9</v>
      </c>
    </row>
    <row r="122" spans="1:7" hidden="1">
      <c r="A122" s="2">
        <v>630000</v>
      </c>
      <c r="B122" s="3">
        <v>2036</v>
      </c>
      <c r="C122" s="3" t="s">
        <v>6</v>
      </c>
      <c r="D122" s="3" t="s">
        <v>7</v>
      </c>
      <c r="E122" s="3" t="s">
        <v>8</v>
      </c>
      <c r="F122" s="3" t="s">
        <v>9</v>
      </c>
      <c r="G122" s="3">
        <v>42524.2</v>
      </c>
    </row>
    <row r="123" spans="1:7">
      <c r="A123" s="2">
        <v>630375</v>
      </c>
      <c r="B123" s="3">
        <v>2036</v>
      </c>
      <c r="C123" s="3" t="s">
        <v>6</v>
      </c>
      <c r="D123" s="3" t="s">
        <v>10</v>
      </c>
      <c r="E123" s="3" t="s">
        <v>8</v>
      </c>
      <c r="F123" s="3" t="s">
        <v>9</v>
      </c>
      <c r="G123" s="3">
        <v>44425.599999999999</v>
      </c>
    </row>
    <row r="124" spans="1:7" hidden="1">
      <c r="A124" s="2">
        <v>630750</v>
      </c>
      <c r="B124" s="3">
        <v>2036</v>
      </c>
      <c r="C124" s="3" t="s">
        <v>6</v>
      </c>
      <c r="D124" s="3" t="s">
        <v>11</v>
      </c>
      <c r="E124" s="3" t="s">
        <v>8</v>
      </c>
      <c r="F124" s="3" t="s">
        <v>9</v>
      </c>
      <c r="G124" s="3">
        <v>44429.599999999999</v>
      </c>
    </row>
    <row r="125" spans="1:7" hidden="1">
      <c r="A125" s="2">
        <v>631125</v>
      </c>
      <c r="B125" s="3">
        <v>2036</v>
      </c>
      <c r="C125" s="3" t="s">
        <v>6</v>
      </c>
      <c r="D125" s="3" t="s">
        <v>12</v>
      </c>
      <c r="E125" s="3" t="s">
        <v>8</v>
      </c>
      <c r="F125" s="3" t="s">
        <v>9</v>
      </c>
      <c r="G125" s="3">
        <v>44428.7</v>
      </c>
    </row>
    <row r="126" spans="1:7" hidden="1">
      <c r="A126" s="2">
        <v>631500</v>
      </c>
      <c r="B126" s="3">
        <v>2036</v>
      </c>
      <c r="C126" s="3" t="s">
        <v>6</v>
      </c>
      <c r="D126" s="3" t="s">
        <v>13</v>
      </c>
      <c r="E126" s="3" t="s">
        <v>8</v>
      </c>
      <c r="F126" s="3" t="s">
        <v>9</v>
      </c>
      <c r="G126" s="3">
        <v>44429.7</v>
      </c>
    </row>
    <row r="127" spans="1:7" hidden="1">
      <c r="A127" s="2">
        <v>631875</v>
      </c>
      <c r="B127" s="3">
        <v>2036</v>
      </c>
      <c r="C127" s="3" t="s">
        <v>6</v>
      </c>
      <c r="D127" s="3" t="s">
        <v>14</v>
      </c>
      <c r="E127" s="3" t="s">
        <v>8</v>
      </c>
      <c r="F127" s="3" t="s">
        <v>9</v>
      </c>
      <c r="G127" s="3">
        <v>44421.3</v>
      </c>
    </row>
    <row r="128" spans="1:7" hidden="1">
      <c r="A128" s="2">
        <v>632250</v>
      </c>
      <c r="B128" s="3">
        <v>2036</v>
      </c>
      <c r="C128" s="3" t="s">
        <v>6</v>
      </c>
      <c r="D128" s="3" t="s">
        <v>15</v>
      </c>
      <c r="E128" s="3" t="s">
        <v>8</v>
      </c>
      <c r="F128" s="3" t="s">
        <v>9</v>
      </c>
      <c r="G128" s="3">
        <v>44425.8</v>
      </c>
    </row>
    <row r="129" spans="1:7" hidden="1">
      <c r="A129" s="2">
        <v>632625</v>
      </c>
      <c r="B129" s="3">
        <v>2036</v>
      </c>
      <c r="C129" s="3" t="s">
        <v>6</v>
      </c>
      <c r="D129" s="3" t="s">
        <v>16</v>
      </c>
      <c r="E129" s="3" t="s">
        <v>8</v>
      </c>
      <c r="F129" s="3" t="s">
        <v>9</v>
      </c>
      <c r="G129" s="3">
        <v>47036.5</v>
      </c>
    </row>
    <row r="130" spans="1:7" hidden="1">
      <c r="A130" s="2">
        <v>633000</v>
      </c>
      <c r="B130" s="3">
        <v>2036</v>
      </c>
      <c r="C130" s="3" t="s">
        <v>6</v>
      </c>
      <c r="D130" s="3" t="s">
        <v>17</v>
      </c>
      <c r="E130" s="3" t="s">
        <v>8</v>
      </c>
      <c r="F130" s="3" t="s">
        <v>9</v>
      </c>
      <c r="G130" s="3">
        <v>46405.9</v>
      </c>
    </row>
    <row r="131" spans="1:7" hidden="1">
      <c r="A131" s="2">
        <v>633375</v>
      </c>
      <c r="B131" s="3">
        <v>2036</v>
      </c>
      <c r="C131" s="3" t="s">
        <v>6</v>
      </c>
      <c r="D131" s="3" t="s">
        <v>18</v>
      </c>
      <c r="E131" s="3" t="s">
        <v>8</v>
      </c>
      <c r="F131" s="3" t="s">
        <v>9</v>
      </c>
      <c r="G131" s="3">
        <v>43130</v>
      </c>
    </row>
    <row r="132" spans="1:7" hidden="1">
      <c r="A132" s="2">
        <v>682500</v>
      </c>
      <c r="B132" s="3">
        <v>2037</v>
      </c>
      <c r="C132" s="3" t="s">
        <v>6</v>
      </c>
      <c r="D132" s="3" t="s">
        <v>7</v>
      </c>
      <c r="E132" s="3" t="s">
        <v>8</v>
      </c>
      <c r="F132" s="3" t="s">
        <v>9</v>
      </c>
      <c r="G132" s="3">
        <v>42636.5</v>
      </c>
    </row>
    <row r="133" spans="1:7">
      <c r="A133" s="2">
        <v>682875</v>
      </c>
      <c r="B133" s="3">
        <v>2037</v>
      </c>
      <c r="C133" s="3" t="s">
        <v>6</v>
      </c>
      <c r="D133" s="3" t="s">
        <v>10</v>
      </c>
      <c r="E133" s="3" t="s">
        <v>8</v>
      </c>
      <c r="F133" s="3" t="s">
        <v>9</v>
      </c>
      <c r="G133" s="3">
        <v>44756.800000000003</v>
      </c>
    </row>
    <row r="134" spans="1:7" hidden="1">
      <c r="A134" s="2">
        <v>683250</v>
      </c>
      <c r="B134" s="3">
        <v>2037</v>
      </c>
      <c r="C134" s="3" t="s">
        <v>6</v>
      </c>
      <c r="D134" s="3" t="s">
        <v>11</v>
      </c>
      <c r="E134" s="3" t="s">
        <v>8</v>
      </c>
      <c r="F134" s="3" t="s">
        <v>9</v>
      </c>
      <c r="G134" s="3">
        <v>44761.5</v>
      </c>
    </row>
    <row r="135" spans="1:7" hidden="1">
      <c r="A135" s="2">
        <v>683625</v>
      </c>
      <c r="B135" s="3">
        <v>2037</v>
      </c>
      <c r="C135" s="3" t="s">
        <v>6</v>
      </c>
      <c r="D135" s="3" t="s">
        <v>12</v>
      </c>
      <c r="E135" s="3" t="s">
        <v>8</v>
      </c>
      <c r="F135" s="3" t="s">
        <v>9</v>
      </c>
      <c r="G135" s="3">
        <v>44760.5</v>
      </c>
    </row>
    <row r="136" spans="1:7" hidden="1">
      <c r="A136" s="2">
        <v>684000</v>
      </c>
      <c r="B136" s="3">
        <v>2037</v>
      </c>
      <c r="C136" s="3" t="s">
        <v>6</v>
      </c>
      <c r="D136" s="3" t="s">
        <v>13</v>
      </c>
      <c r="E136" s="3" t="s">
        <v>8</v>
      </c>
      <c r="F136" s="3" t="s">
        <v>9</v>
      </c>
      <c r="G136" s="3">
        <v>44761.599999999999</v>
      </c>
    </row>
    <row r="137" spans="1:7" hidden="1">
      <c r="A137" s="2">
        <v>684375</v>
      </c>
      <c r="B137" s="3">
        <v>2037</v>
      </c>
      <c r="C137" s="3" t="s">
        <v>6</v>
      </c>
      <c r="D137" s="3" t="s">
        <v>14</v>
      </c>
      <c r="E137" s="3" t="s">
        <v>8</v>
      </c>
      <c r="F137" s="3" t="s">
        <v>9</v>
      </c>
      <c r="G137" s="3">
        <v>44751.8</v>
      </c>
    </row>
    <row r="138" spans="1:7" hidden="1">
      <c r="A138" s="2">
        <v>684750</v>
      </c>
      <c r="B138" s="3">
        <v>2037</v>
      </c>
      <c r="C138" s="3" t="s">
        <v>6</v>
      </c>
      <c r="D138" s="3" t="s">
        <v>15</v>
      </c>
      <c r="E138" s="3" t="s">
        <v>8</v>
      </c>
      <c r="F138" s="3" t="s">
        <v>9</v>
      </c>
      <c r="G138" s="3">
        <v>44757.1</v>
      </c>
    </row>
    <row r="139" spans="1:7" hidden="1">
      <c r="A139" s="2">
        <v>685125</v>
      </c>
      <c r="B139" s="3">
        <v>2037</v>
      </c>
      <c r="C139" s="3" t="s">
        <v>6</v>
      </c>
      <c r="D139" s="3" t="s">
        <v>16</v>
      </c>
      <c r="E139" s="3" t="s">
        <v>8</v>
      </c>
      <c r="F139" s="3" t="s">
        <v>9</v>
      </c>
      <c r="G139" s="3">
        <v>47637.1</v>
      </c>
    </row>
    <row r="140" spans="1:7" hidden="1">
      <c r="A140" s="2">
        <v>685500</v>
      </c>
      <c r="B140" s="3">
        <v>2037</v>
      </c>
      <c r="C140" s="3" t="s">
        <v>6</v>
      </c>
      <c r="D140" s="3" t="s">
        <v>17</v>
      </c>
      <c r="E140" s="3" t="s">
        <v>8</v>
      </c>
      <c r="F140" s="3" t="s">
        <v>9</v>
      </c>
      <c r="G140" s="3">
        <v>46944.6</v>
      </c>
    </row>
    <row r="141" spans="1:7" hidden="1">
      <c r="A141" s="2">
        <v>685875</v>
      </c>
      <c r="B141" s="3">
        <v>2037</v>
      </c>
      <c r="C141" s="3" t="s">
        <v>6</v>
      </c>
      <c r="D141" s="3" t="s">
        <v>18</v>
      </c>
      <c r="E141" s="3" t="s">
        <v>8</v>
      </c>
      <c r="F141" s="3" t="s">
        <v>9</v>
      </c>
      <c r="G141" s="3">
        <v>43297.8</v>
      </c>
    </row>
    <row r="142" spans="1:7" hidden="1">
      <c r="A142" s="2">
        <v>735000</v>
      </c>
      <c r="B142" s="3">
        <v>2038</v>
      </c>
      <c r="C142" s="3" t="s">
        <v>6</v>
      </c>
      <c r="D142" s="3" t="s">
        <v>7</v>
      </c>
      <c r="E142" s="3" t="s">
        <v>8</v>
      </c>
      <c r="F142" s="3" t="s">
        <v>9</v>
      </c>
      <c r="G142" s="3">
        <v>42742.9</v>
      </c>
    </row>
    <row r="143" spans="1:7">
      <c r="A143" s="2">
        <v>735375</v>
      </c>
      <c r="B143" s="3">
        <v>2038</v>
      </c>
      <c r="C143" s="3" t="s">
        <v>6</v>
      </c>
      <c r="D143" s="3" t="s">
        <v>10</v>
      </c>
      <c r="E143" s="3" t="s">
        <v>8</v>
      </c>
      <c r="F143" s="3" t="s">
        <v>9</v>
      </c>
      <c r="G143" s="3">
        <v>45090.2</v>
      </c>
    </row>
    <row r="144" spans="1:7" hidden="1">
      <c r="A144" s="2">
        <v>735750</v>
      </c>
      <c r="B144" s="3">
        <v>2038</v>
      </c>
      <c r="C144" s="3" t="s">
        <v>6</v>
      </c>
      <c r="D144" s="3" t="s">
        <v>11</v>
      </c>
      <c r="E144" s="3" t="s">
        <v>8</v>
      </c>
      <c r="F144" s="3" t="s">
        <v>9</v>
      </c>
      <c r="G144" s="3">
        <v>45095.6</v>
      </c>
    </row>
    <row r="145" spans="1:7" hidden="1">
      <c r="A145" s="2">
        <v>736125</v>
      </c>
      <c r="B145" s="3">
        <v>2038</v>
      </c>
      <c r="C145" s="3" t="s">
        <v>6</v>
      </c>
      <c r="D145" s="3" t="s">
        <v>12</v>
      </c>
      <c r="E145" s="3" t="s">
        <v>8</v>
      </c>
      <c r="F145" s="3" t="s">
        <v>9</v>
      </c>
      <c r="G145" s="3">
        <v>45094.5</v>
      </c>
    </row>
    <row r="146" spans="1:7" hidden="1">
      <c r="A146" s="2">
        <v>736500</v>
      </c>
      <c r="B146" s="3">
        <v>2038</v>
      </c>
      <c r="C146" s="3" t="s">
        <v>6</v>
      </c>
      <c r="D146" s="3" t="s">
        <v>13</v>
      </c>
      <c r="E146" s="3" t="s">
        <v>8</v>
      </c>
      <c r="F146" s="3" t="s">
        <v>9</v>
      </c>
      <c r="G146" s="3">
        <v>45095.7</v>
      </c>
    </row>
    <row r="147" spans="1:7" hidden="1">
      <c r="A147" s="2">
        <v>736875</v>
      </c>
      <c r="B147" s="3">
        <v>2038</v>
      </c>
      <c r="C147" s="3" t="s">
        <v>6</v>
      </c>
      <c r="D147" s="3" t="s">
        <v>14</v>
      </c>
      <c r="E147" s="3" t="s">
        <v>8</v>
      </c>
      <c r="F147" s="3" t="s">
        <v>9</v>
      </c>
      <c r="G147" s="3">
        <v>45084.3</v>
      </c>
    </row>
    <row r="148" spans="1:7" hidden="1">
      <c r="A148" s="2">
        <v>737250</v>
      </c>
      <c r="B148" s="3">
        <v>2038</v>
      </c>
      <c r="C148" s="3" t="s">
        <v>6</v>
      </c>
      <c r="D148" s="3" t="s">
        <v>15</v>
      </c>
      <c r="E148" s="3" t="s">
        <v>8</v>
      </c>
      <c r="F148" s="3" t="s">
        <v>9</v>
      </c>
      <c r="G148" s="3">
        <v>45090.6</v>
      </c>
    </row>
    <row r="149" spans="1:7" hidden="1">
      <c r="A149" s="2">
        <v>737625</v>
      </c>
      <c r="B149" s="3">
        <v>2038</v>
      </c>
      <c r="C149" s="3" t="s">
        <v>6</v>
      </c>
      <c r="D149" s="3" t="s">
        <v>16</v>
      </c>
      <c r="E149" s="3" t="s">
        <v>8</v>
      </c>
      <c r="F149" s="3" t="s">
        <v>9</v>
      </c>
      <c r="G149" s="3">
        <v>48250.8</v>
      </c>
    </row>
    <row r="150" spans="1:7" hidden="1">
      <c r="A150" s="2">
        <v>738000</v>
      </c>
      <c r="B150" s="3">
        <v>2038</v>
      </c>
      <c r="C150" s="3" t="s">
        <v>6</v>
      </c>
      <c r="D150" s="3" t="s">
        <v>17</v>
      </c>
      <c r="E150" s="3" t="s">
        <v>8</v>
      </c>
      <c r="F150" s="3" t="s">
        <v>9</v>
      </c>
      <c r="G150" s="3">
        <v>47495.3</v>
      </c>
    </row>
    <row r="151" spans="1:7" hidden="1">
      <c r="A151" s="2">
        <v>738375</v>
      </c>
      <c r="B151" s="3">
        <v>2038</v>
      </c>
      <c r="C151" s="3" t="s">
        <v>6</v>
      </c>
      <c r="D151" s="3" t="s">
        <v>18</v>
      </c>
      <c r="E151" s="3" t="s">
        <v>8</v>
      </c>
      <c r="F151" s="3" t="s">
        <v>9</v>
      </c>
      <c r="G151" s="3">
        <v>43459.8</v>
      </c>
    </row>
    <row r="152" spans="1:7" hidden="1">
      <c r="A152" s="2">
        <v>787500</v>
      </c>
      <c r="B152" s="3">
        <v>2039</v>
      </c>
      <c r="C152" s="3" t="s">
        <v>6</v>
      </c>
      <c r="D152" s="3" t="s">
        <v>7</v>
      </c>
      <c r="E152" s="3" t="s">
        <v>8</v>
      </c>
      <c r="F152" s="3" t="s">
        <v>9</v>
      </c>
      <c r="G152" s="3">
        <v>42844</v>
      </c>
    </row>
    <row r="153" spans="1:7">
      <c r="A153" s="2">
        <v>787875</v>
      </c>
      <c r="B153" s="3">
        <v>2039</v>
      </c>
      <c r="C153" s="3" t="s">
        <v>6</v>
      </c>
      <c r="D153" s="3" t="s">
        <v>10</v>
      </c>
      <c r="E153" s="3" t="s">
        <v>8</v>
      </c>
      <c r="F153" s="3" t="s">
        <v>9</v>
      </c>
      <c r="G153" s="3">
        <v>45426.400000000001</v>
      </c>
    </row>
    <row r="154" spans="1:7" hidden="1">
      <c r="A154" s="2">
        <v>788250</v>
      </c>
      <c r="B154" s="3">
        <v>2039</v>
      </c>
      <c r="C154" s="3" t="s">
        <v>6</v>
      </c>
      <c r="D154" s="3" t="s">
        <v>11</v>
      </c>
      <c r="E154" s="3" t="s">
        <v>8</v>
      </c>
      <c r="F154" s="3" t="s">
        <v>9</v>
      </c>
      <c r="G154" s="3">
        <v>45432.7</v>
      </c>
    </row>
    <row r="155" spans="1:7" hidden="1">
      <c r="A155" s="2">
        <v>788625</v>
      </c>
      <c r="B155" s="3">
        <v>2039</v>
      </c>
      <c r="C155" s="3" t="s">
        <v>6</v>
      </c>
      <c r="D155" s="3" t="s">
        <v>12</v>
      </c>
      <c r="E155" s="3" t="s">
        <v>8</v>
      </c>
      <c r="F155" s="3" t="s">
        <v>9</v>
      </c>
      <c r="G155" s="3">
        <v>45431.5</v>
      </c>
    </row>
    <row r="156" spans="1:7" hidden="1">
      <c r="A156" s="2">
        <v>789000</v>
      </c>
      <c r="B156" s="3">
        <v>2039</v>
      </c>
      <c r="C156" s="3" t="s">
        <v>6</v>
      </c>
      <c r="D156" s="3" t="s">
        <v>13</v>
      </c>
      <c r="E156" s="3" t="s">
        <v>8</v>
      </c>
      <c r="F156" s="3" t="s">
        <v>9</v>
      </c>
      <c r="G156" s="3">
        <v>45432.6</v>
      </c>
    </row>
    <row r="157" spans="1:7" hidden="1">
      <c r="A157" s="2">
        <v>789375</v>
      </c>
      <c r="B157" s="3">
        <v>2039</v>
      </c>
      <c r="C157" s="3" t="s">
        <v>6</v>
      </c>
      <c r="D157" s="3" t="s">
        <v>14</v>
      </c>
      <c r="E157" s="3" t="s">
        <v>8</v>
      </c>
      <c r="F157" s="3" t="s">
        <v>9</v>
      </c>
      <c r="G157" s="3">
        <v>45419.7</v>
      </c>
    </row>
    <row r="158" spans="1:7" hidden="1">
      <c r="A158" s="2">
        <v>789750</v>
      </c>
      <c r="B158" s="3">
        <v>2039</v>
      </c>
      <c r="C158" s="3" t="s">
        <v>6</v>
      </c>
      <c r="D158" s="3" t="s">
        <v>15</v>
      </c>
      <c r="E158" s="3" t="s">
        <v>8</v>
      </c>
      <c r="F158" s="3" t="s">
        <v>9</v>
      </c>
      <c r="G158" s="3">
        <v>45427</v>
      </c>
    </row>
    <row r="159" spans="1:7" hidden="1">
      <c r="A159" s="2">
        <v>790125</v>
      </c>
      <c r="B159" s="3">
        <v>2039</v>
      </c>
      <c r="C159" s="3" t="s">
        <v>6</v>
      </c>
      <c r="D159" s="3" t="s">
        <v>16</v>
      </c>
      <c r="E159" s="3" t="s">
        <v>8</v>
      </c>
      <c r="F159" s="3" t="s">
        <v>9</v>
      </c>
      <c r="G159" s="3">
        <v>48878.400000000001</v>
      </c>
    </row>
    <row r="160" spans="1:7" hidden="1">
      <c r="A160" s="2">
        <v>790500</v>
      </c>
      <c r="B160" s="3">
        <v>2039</v>
      </c>
      <c r="C160" s="3" t="s">
        <v>6</v>
      </c>
      <c r="D160" s="3" t="s">
        <v>17</v>
      </c>
      <c r="E160" s="3" t="s">
        <v>8</v>
      </c>
      <c r="F160" s="3" t="s">
        <v>9</v>
      </c>
      <c r="G160" s="3">
        <v>48058.9</v>
      </c>
    </row>
    <row r="161" spans="1:7" hidden="1">
      <c r="A161" s="2">
        <v>790875</v>
      </c>
      <c r="B161" s="3">
        <v>2039</v>
      </c>
      <c r="C161" s="3" t="s">
        <v>6</v>
      </c>
      <c r="D161" s="3" t="s">
        <v>18</v>
      </c>
      <c r="E161" s="3" t="s">
        <v>8</v>
      </c>
      <c r="F161" s="3" t="s">
        <v>9</v>
      </c>
      <c r="G161" s="3">
        <v>43616.6</v>
      </c>
    </row>
    <row r="162" spans="1:7" hidden="1">
      <c r="A162" s="2">
        <v>840000</v>
      </c>
      <c r="B162" s="3">
        <v>2040</v>
      </c>
      <c r="C162" s="3" t="s">
        <v>6</v>
      </c>
      <c r="D162" s="3" t="s">
        <v>7</v>
      </c>
      <c r="E162" s="3" t="s">
        <v>8</v>
      </c>
      <c r="F162" s="3" t="s">
        <v>9</v>
      </c>
      <c r="G162" s="3">
        <v>42940.7</v>
      </c>
    </row>
    <row r="163" spans="1:7">
      <c r="A163" s="2">
        <v>840375</v>
      </c>
      <c r="B163" s="3">
        <v>2040</v>
      </c>
      <c r="C163" s="3" t="s">
        <v>6</v>
      </c>
      <c r="D163" s="3" t="s">
        <v>10</v>
      </c>
      <c r="E163" s="3" t="s">
        <v>8</v>
      </c>
      <c r="F163" s="3" t="s">
        <v>9</v>
      </c>
      <c r="G163" s="3">
        <v>45766</v>
      </c>
    </row>
    <row r="164" spans="1:7" hidden="1">
      <c r="A164" s="2">
        <v>840750</v>
      </c>
      <c r="B164" s="3">
        <v>2040</v>
      </c>
      <c r="C164" s="3" t="s">
        <v>6</v>
      </c>
      <c r="D164" s="3" t="s">
        <v>11</v>
      </c>
      <c r="E164" s="3" t="s">
        <v>8</v>
      </c>
      <c r="F164" s="3" t="s">
        <v>9</v>
      </c>
      <c r="G164" s="3">
        <v>45773.1</v>
      </c>
    </row>
    <row r="165" spans="1:7" hidden="1">
      <c r="A165" s="2">
        <v>841125</v>
      </c>
      <c r="B165" s="3">
        <v>2040</v>
      </c>
      <c r="C165" s="3" t="s">
        <v>6</v>
      </c>
      <c r="D165" s="3" t="s">
        <v>12</v>
      </c>
      <c r="E165" s="3" t="s">
        <v>8</v>
      </c>
      <c r="F165" s="3" t="s">
        <v>9</v>
      </c>
      <c r="G165" s="3">
        <v>45771.8</v>
      </c>
    </row>
    <row r="166" spans="1:7" hidden="1">
      <c r="A166" s="2">
        <v>841500</v>
      </c>
      <c r="B166" s="3">
        <v>2040</v>
      </c>
      <c r="C166" s="3" t="s">
        <v>6</v>
      </c>
      <c r="D166" s="3" t="s">
        <v>13</v>
      </c>
      <c r="E166" s="3" t="s">
        <v>8</v>
      </c>
      <c r="F166" s="3" t="s">
        <v>9</v>
      </c>
      <c r="G166" s="3">
        <v>45772.9</v>
      </c>
    </row>
    <row r="167" spans="1:7" hidden="1">
      <c r="A167" s="2">
        <v>841875</v>
      </c>
      <c r="B167" s="3">
        <v>2040</v>
      </c>
      <c r="C167" s="3" t="s">
        <v>6</v>
      </c>
      <c r="D167" s="3" t="s">
        <v>14</v>
      </c>
      <c r="E167" s="3" t="s">
        <v>8</v>
      </c>
      <c r="F167" s="3" t="s">
        <v>9</v>
      </c>
      <c r="G167" s="3">
        <v>45758.2</v>
      </c>
    </row>
    <row r="168" spans="1:7" hidden="1">
      <c r="A168" s="2">
        <v>842250</v>
      </c>
      <c r="B168" s="3">
        <v>2040</v>
      </c>
      <c r="C168" s="3" t="s">
        <v>6</v>
      </c>
      <c r="D168" s="3" t="s">
        <v>15</v>
      </c>
      <c r="E168" s="3" t="s">
        <v>8</v>
      </c>
      <c r="F168" s="3" t="s">
        <v>9</v>
      </c>
      <c r="G168" s="3">
        <v>45766.7</v>
      </c>
    </row>
    <row r="169" spans="1:7" hidden="1">
      <c r="A169" s="2">
        <v>842625</v>
      </c>
      <c r="B169" s="3">
        <v>2040</v>
      </c>
      <c r="C169" s="3" t="s">
        <v>6</v>
      </c>
      <c r="D169" s="3" t="s">
        <v>16</v>
      </c>
      <c r="E169" s="3" t="s">
        <v>8</v>
      </c>
      <c r="F169" s="3" t="s">
        <v>9</v>
      </c>
      <c r="G169" s="3">
        <v>49521.1</v>
      </c>
    </row>
    <row r="170" spans="1:7" hidden="1">
      <c r="A170" s="2">
        <v>843000</v>
      </c>
      <c r="B170" s="3">
        <v>2040</v>
      </c>
      <c r="C170" s="3" t="s">
        <v>6</v>
      </c>
      <c r="D170" s="3" t="s">
        <v>17</v>
      </c>
      <c r="E170" s="3" t="s">
        <v>8</v>
      </c>
      <c r="F170" s="3" t="s">
        <v>9</v>
      </c>
      <c r="G170" s="3">
        <v>48636.6</v>
      </c>
    </row>
    <row r="171" spans="1:7" hidden="1">
      <c r="A171" s="2">
        <v>843375</v>
      </c>
      <c r="B171" s="3">
        <v>2040</v>
      </c>
      <c r="C171" s="3" t="s">
        <v>6</v>
      </c>
      <c r="D171" s="3" t="s">
        <v>18</v>
      </c>
      <c r="E171" s="3" t="s">
        <v>8</v>
      </c>
      <c r="F171" s="3" t="s">
        <v>9</v>
      </c>
      <c r="G171" s="3">
        <v>43768.800000000003</v>
      </c>
    </row>
    <row r="172" spans="1:7" hidden="1">
      <c r="A172" s="2">
        <v>892500</v>
      </c>
      <c r="B172" s="3">
        <v>2041</v>
      </c>
      <c r="C172" s="3" t="s">
        <v>6</v>
      </c>
      <c r="D172" s="3" t="s">
        <v>7</v>
      </c>
      <c r="E172" s="3" t="s">
        <v>8</v>
      </c>
      <c r="F172" s="3" t="s">
        <v>9</v>
      </c>
      <c r="G172" s="3">
        <v>43034.1</v>
      </c>
    </row>
    <row r="173" spans="1:7">
      <c r="A173" s="2">
        <v>892875</v>
      </c>
      <c r="B173" s="3">
        <v>2041</v>
      </c>
      <c r="C173" s="3" t="s">
        <v>6</v>
      </c>
      <c r="D173" s="3" t="s">
        <v>10</v>
      </c>
      <c r="E173" s="3" t="s">
        <v>8</v>
      </c>
      <c r="F173" s="3" t="s">
        <v>9</v>
      </c>
      <c r="G173" s="3">
        <v>46109.3</v>
      </c>
    </row>
    <row r="174" spans="1:7" hidden="1">
      <c r="A174" s="2">
        <v>893250</v>
      </c>
      <c r="B174" s="3">
        <v>2041</v>
      </c>
      <c r="C174" s="3" t="s">
        <v>6</v>
      </c>
      <c r="D174" s="3" t="s">
        <v>11</v>
      </c>
      <c r="E174" s="3" t="s">
        <v>8</v>
      </c>
      <c r="F174" s="3" t="s">
        <v>9</v>
      </c>
      <c r="G174" s="3">
        <v>46117.4</v>
      </c>
    </row>
    <row r="175" spans="1:7" hidden="1">
      <c r="A175" s="2">
        <v>893625</v>
      </c>
      <c r="B175" s="3">
        <v>2041</v>
      </c>
      <c r="C175" s="3" t="s">
        <v>6</v>
      </c>
      <c r="D175" s="3" t="s">
        <v>12</v>
      </c>
      <c r="E175" s="3" t="s">
        <v>8</v>
      </c>
      <c r="F175" s="3" t="s">
        <v>9</v>
      </c>
      <c r="G175" s="3">
        <v>46115.9</v>
      </c>
    </row>
    <row r="176" spans="1:7" hidden="1">
      <c r="A176" s="2">
        <v>894000</v>
      </c>
      <c r="B176" s="3">
        <v>2041</v>
      </c>
      <c r="C176" s="3" t="s">
        <v>6</v>
      </c>
      <c r="D176" s="3" t="s">
        <v>13</v>
      </c>
      <c r="E176" s="3" t="s">
        <v>8</v>
      </c>
      <c r="F176" s="3" t="s">
        <v>9</v>
      </c>
      <c r="G176" s="3">
        <v>46117.1</v>
      </c>
    </row>
    <row r="177" spans="1:7" hidden="1">
      <c r="A177" s="2">
        <v>894375</v>
      </c>
      <c r="B177" s="3">
        <v>2041</v>
      </c>
      <c r="C177" s="3" t="s">
        <v>6</v>
      </c>
      <c r="D177" s="3" t="s">
        <v>14</v>
      </c>
      <c r="E177" s="3" t="s">
        <v>8</v>
      </c>
      <c r="F177" s="3" t="s">
        <v>9</v>
      </c>
      <c r="G177" s="3">
        <v>46100.5</v>
      </c>
    </row>
    <row r="178" spans="1:7" hidden="1">
      <c r="A178" s="2">
        <v>894750</v>
      </c>
      <c r="B178" s="3">
        <v>2041</v>
      </c>
      <c r="C178" s="3" t="s">
        <v>6</v>
      </c>
      <c r="D178" s="3" t="s">
        <v>15</v>
      </c>
      <c r="E178" s="3" t="s">
        <v>8</v>
      </c>
      <c r="F178" s="3" t="s">
        <v>9</v>
      </c>
      <c r="G178" s="3">
        <v>46110.2</v>
      </c>
    </row>
    <row r="179" spans="1:7" hidden="1">
      <c r="A179" s="2">
        <v>895125</v>
      </c>
      <c r="B179" s="3">
        <v>2041</v>
      </c>
      <c r="C179" s="3" t="s">
        <v>6</v>
      </c>
      <c r="D179" s="3" t="s">
        <v>16</v>
      </c>
      <c r="E179" s="3" t="s">
        <v>8</v>
      </c>
      <c r="F179" s="3" t="s">
        <v>9</v>
      </c>
      <c r="G179" s="3">
        <v>50179.199999999997</v>
      </c>
    </row>
    <row r="180" spans="1:7" hidden="1">
      <c r="A180" s="2">
        <v>895500</v>
      </c>
      <c r="B180" s="3">
        <v>2041</v>
      </c>
      <c r="C180" s="3" t="s">
        <v>6</v>
      </c>
      <c r="D180" s="3" t="s">
        <v>17</v>
      </c>
      <c r="E180" s="3" t="s">
        <v>8</v>
      </c>
      <c r="F180" s="3" t="s">
        <v>9</v>
      </c>
      <c r="G180" s="3">
        <v>49229.8</v>
      </c>
    </row>
    <row r="181" spans="1:7" hidden="1">
      <c r="A181" s="2">
        <v>895875</v>
      </c>
      <c r="B181" s="3">
        <v>2041</v>
      </c>
      <c r="C181" s="3" t="s">
        <v>6</v>
      </c>
      <c r="D181" s="3" t="s">
        <v>18</v>
      </c>
      <c r="E181" s="3" t="s">
        <v>8</v>
      </c>
      <c r="F181" s="3" t="s">
        <v>9</v>
      </c>
      <c r="G181" s="3">
        <v>43916.7</v>
      </c>
    </row>
    <row r="182" spans="1:7" hidden="1">
      <c r="A182" s="2">
        <v>945000</v>
      </c>
      <c r="B182" s="3">
        <v>2042</v>
      </c>
      <c r="C182" s="3" t="s">
        <v>6</v>
      </c>
      <c r="D182" s="3" t="s">
        <v>7</v>
      </c>
      <c r="E182" s="3" t="s">
        <v>8</v>
      </c>
      <c r="F182" s="3" t="s">
        <v>9</v>
      </c>
      <c r="G182" s="3">
        <v>43124.3</v>
      </c>
    </row>
    <row r="183" spans="1:7">
      <c r="A183" s="2">
        <v>945375</v>
      </c>
      <c r="B183" s="3">
        <v>2042</v>
      </c>
      <c r="C183" s="3" t="s">
        <v>6</v>
      </c>
      <c r="D183" s="3" t="s">
        <v>10</v>
      </c>
      <c r="E183" s="3" t="s">
        <v>8</v>
      </c>
      <c r="F183" s="3" t="s">
        <v>9</v>
      </c>
      <c r="G183" s="3">
        <v>46457</v>
      </c>
    </row>
    <row r="184" spans="1:7" hidden="1">
      <c r="A184" s="2">
        <v>945750</v>
      </c>
      <c r="B184" s="3">
        <v>2042</v>
      </c>
      <c r="C184" s="3" t="s">
        <v>6</v>
      </c>
      <c r="D184" s="3" t="s">
        <v>11</v>
      </c>
      <c r="E184" s="3" t="s">
        <v>8</v>
      </c>
      <c r="F184" s="3" t="s">
        <v>9</v>
      </c>
      <c r="G184" s="3">
        <v>46466.1</v>
      </c>
    </row>
    <row r="185" spans="1:7" hidden="1">
      <c r="A185" s="2">
        <v>946125</v>
      </c>
      <c r="B185" s="3">
        <v>2042</v>
      </c>
      <c r="C185" s="3" t="s">
        <v>6</v>
      </c>
      <c r="D185" s="3" t="s">
        <v>12</v>
      </c>
      <c r="E185" s="3" t="s">
        <v>8</v>
      </c>
      <c r="F185" s="3" t="s">
        <v>9</v>
      </c>
      <c r="G185" s="3">
        <v>46464.5</v>
      </c>
    </row>
    <row r="186" spans="1:7" hidden="1">
      <c r="A186" s="2">
        <v>946500</v>
      </c>
      <c r="B186" s="3">
        <v>2042</v>
      </c>
      <c r="C186" s="3" t="s">
        <v>6</v>
      </c>
      <c r="D186" s="3" t="s">
        <v>13</v>
      </c>
      <c r="E186" s="3" t="s">
        <v>8</v>
      </c>
      <c r="F186" s="3" t="s">
        <v>9</v>
      </c>
      <c r="G186" s="3">
        <v>46465.599999999999</v>
      </c>
    </row>
    <row r="187" spans="1:7" hidden="1">
      <c r="A187" s="2">
        <v>946875</v>
      </c>
      <c r="B187" s="3">
        <v>2042</v>
      </c>
      <c r="C187" s="3" t="s">
        <v>6</v>
      </c>
      <c r="D187" s="3" t="s">
        <v>14</v>
      </c>
      <c r="E187" s="3" t="s">
        <v>8</v>
      </c>
      <c r="F187" s="3" t="s">
        <v>9</v>
      </c>
      <c r="G187" s="3">
        <v>46447.1</v>
      </c>
    </row>
    <row r="188" spans="1:7" hidden="1">
      <c r="A188" s="2">
        <v>947250</v>
      </c>
      <c r="B188" s="3">
        <v>2042</v>
      </c>
      <c r="C188" s="3" t="s">
        <v>6</v>
      </c>
      <c r="D188" s="3" t="s">
        <v>15</v>
      </c>
      <c r="E188" s="3" t="s">
        <v>8</v>
      </c>
      <c r="F188" s="3" t="s">
        <v>9</v>
      </c>
      <c r="G188" s="3">
        <v>46458</v>
      </c>
    </row>
    <row r="189" spans="1:7" hidden="1">
      <c r="A189" s="2">
        <v>947625</v>
      </c>
      <c r="B189" s="3">
        <v>2042</v>
      </c>
      <c r="C189" s="3" t="s">
        <v>6</v>
      </c>
      <c r="D189" s="3" t="s">
        <v>16</v>
      </c>
      <c r="E189" s="3" t="s">
        <v>8</v>
      </c>
      <c r="F189" s="3" t="s">
        <v>9</v>
      </c>
      <c r="G189" s="3">
        <v>50853.1</v>
      </c>
    </row>
    <row r="190" spans="1:7" hidden="1">
      <c r="A190" s="2">
        <v>948000</v>
      </c>
      <c r="B190" s="3">
        <v>2042</v>
      </c>
      <c r="C190" s="3" t="s">
        <v>6</v>
      </c>
      <c r="D190" s="3" t="s">
        <v>17</v>
      </c>
      <c r="E190" s="3" t="s">
        <v>8</v>
      </c>
      <c r="F190" s="3" t="s">
        <v>9</v>
      </c>
      <c r="G190" s="3">
        <v>49838.8</v>
      </c>
    </row>
    <row r="191" spans="1:7" hidden="1">
      <c r="A191" s="2">
        <v>948375</v>
      </c>
      <c r="B191" s="3">
        <v>2042</v>
      </c>
      <c r="C191" s="3" t="s">
        <v>6</v>
      </c>
      <c r="D191" s="3" t="s">
        <v>18</v>
      </c>
      <c r="E191" s="3" t="s">
        <v>8</v>
      </c>
      <c r="F191" s="3" t="s">
        <v>9</v>
      </c>
      <c r="G191" s="3">
        <v>44060.4</v>
      </c>
    </row>
    <row r="192" spans="1:7" hidden="1">
      <c r="A192" s="2">
        <v>997500</v>
      </c>
      <c r="B192" s="3">
        <v>2043</v>
      </c>
      <c r="C192" s="3" t="s">
        <v>6</v>
      </c>
      <c r="D192" s="3" t="s">
        <v>7</v>
      </c>
      <c r="E192" s="3" t="s">
        <v>8</v>
      </c>
      <c r="F192" s="3" t="s">
        <v>9</v>
      </c>
      <c r="G192" s="3">
        <v>43211.3</v>
      </c>
    </row>
    <row r="193" spans="1:7">
      <c r="A193" s="2">
        <v>997875</v>
      </c>
      <c r="B193" s="3">
        <v>2043</v>
      </c>
      <c r="C193" s="3" t="s">
        <v>6</v>
      </c>
      <c r="D193" s="3" t="s">
        <v>10</v>
      </c>
      <c r="E193" s="3" t="s">
        <v>8</v>
      </c>
      <c r="F193" s="3" t="s">
        <v>9</v>
      </c>
      <c r="G193" s="3">
        <v>46809</v>
      </c>
    </row>
    <row r="194" spans="1:7" hidden="1">
      <c r="A194" s="2">
        <v>998250</v>
      </c>
      <c r="B194" s="3">
        <v>2043</v>
      </c>
      <c r="C194" s="3" t="s">
        <v>6</v>
      </c>
      <c r="D194" s="3" t="s">
        <v>11</v>
      </c>
      <c r="E194" s="3" t="s">
        <v>8</v>
      </c>
      <c r="F194" s="3" t="s">
        <v>9</v>
      </c>
      <c r="G194" s="3">
        <v>46819.199999999997</v>
      </c>
    </row>
    <row r="195" spans="1:7" hidden="1">
      <c r="A195" s="2">
        <v>998625</v>
      </c>
      <c r="B195" s="3">
        <v>2043</v>
      </c>
      <c r="C195" s="3" t="s">
        <v>6</v>
      </c>
      <c r="D195" s="3" t="s">
        <v>12</v>
      </c>
      <c r="E195" s="3" t="s">
        <v>8</v>
      </c>
      <c r="F195" s="3" t="s">
        <v>9</v>
      </c>
      <c r="G195" s="3">
        <v>46817.4</v>
      </c>
    </row>
    <row r="196" spans="1:7" hidden="1">
      <c r="A196" s="2">
        <v>999000</v>
      </c>
      <c r="B196" s="3">
        <v>2043</v>
      </c>
      <c r="C196" s="3" t="s">
        <v>6</v>
      </c>
      <c r="D196" s="3" t="s">
        <v>13</v>
      </c>
      <c r="E196" s="3" t="s">
        <v>8</v>
      </c>
      <c r="F196" s="3" t="s">
        <v>9</v>
      </c>
      <c r="G196" s="3">
        <v>46818.400000000001</v>
      </c>
    </row>
    <row r="197" spans="1:7" hidden="1">
      <c r="A197" s="2">
        <v>999375</v>
      </c>
      <c r="B197" s="3">
        <v>2043</v>
      </c>
      <c r="C197" s="3" t="s">
        <v>6</v>
      </c>
      <c r="D197" s="3" t="s">
        <v>14</v>
      </c>
      <c r="E197" s="3" t="s">
        <v>8</v>
      </c>
      <c r="F197" s="3" t="s">
        <v>9</v>
      </c>
      <c r="G197" s="3">
        <v>46797.9</v>
      </c>
    </row>
    <row r="198" spans="1:7" hidden="1">
      <c r="A198" s="2">
        <v>999750</v>
      </c>
      <c r="B198" s="3">
        <v>2043</v>
      </c>
      <c r="C198" s="3" t="s">
        <v>6</v>
      </c>
      <c r="D198" s="3" t="s">
        <v>15</v>
      </c>
      <c r="E198" s="3" t="s">
        <v>8</v>
      </c>
      <c r="F198" s="3" t="s">
        <v>9</v>
      </c>
      <c r="G198" s="3">
        <v>46810.2</v>
      </c>
    </row>
  </sheetData>
  <autoFilter ref="A1:G198" xr:uid="{DEFB0A1F-19FE-404A-8A2D-B8AF1B3EE634}">
    <filterColumn colId="3">
      <filters>
        <filter val="Projection scenario M1: medium-grow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D10A-B9D8-1F47-AEFB-FCD3678BCA10}">
  <dimension ref="A1:AM39"/>
  <sheetViews>
    <sheetView tabSelected="1" topLeftCell="H1" workbookViewId="0">
      <selection activeCell="N5" sqref="N5"/>
    </sheetView>
  </sheetViews>
  <sheetFormatPr defaultColWidth="11.19921875" defaultRowHeight="15.6"/>
  <cols>
    <col min="1" max="1" width="37.5" bestFit="1" customWidth="1"/>
    <col min="2" max="32" width="11.796875" bestFit="1" customWidth="1"/>
    <col min="33" max="38" width="14.5" bestFit="1" customWidth="1"/>
    <col min="39" max="39" width="15.796875" bestFit="1" customWidth="1"/>
  </cols>
  <sheetData>
    <row r="1" spans="1:39" ht="18">
      <c r="A1" s="4"/>
      <c r="B1" s="4">
        <v>2013</v>
      </c>
      <c r="C1" s="4">
        <v>2014</v>
      </c>
      <c r="D1" s="4">
        <v>2015</v>
      </c>
      <c r="E1" s="4">
        <v>2016</v>
      </c>
      <c r="F1" s="4">
        <v>2017</v>
      </c>
      <c r="G1" s="4">
        <v>2018</v>
      </c>
      <c r="H1" s="4">
        <v>2019</v>
      </c>
      <c r="I1" s="4">
        <v>2020</v>
      </c>
      <c r="J1" s="4">
        <v>2021</v>
      </c>
      <c r="K1" s="4">
        <v>2022</v>
      </c>
      <c r="L1" s="4">
        <v>2023</v>
      </c>
      <c r="M1" s="4">
        <v>2024</v>
      </c>
      <c r="N1" s="7">
        <v>2025</v>
      </c>
      <c r="O1" s="7">
        <v>2026</v>
      </c>
      <c r="P1" s="7">
        <v>2027</v>
      </c>
      <c r="Q1" s="7">
        <v>2028</v>
      </c>
      <c r="R1" s="7">
        <v>2029</v>
      </c>
      <c r="S1" s="7">
        <v>2030</v>
      </c>
      <c r="T1" s="7">
        <v>2031</v>
      </c>
      <c r="U1" s="7">
        <v>2032</v>
      </c>
      <c r="V1" s="7">
        <v>2033</v>
      </c>
      <c r="W1" s="7">
        <v>2034</v>
      </c>
      <c r="X1" s="7">
        <v>2035</v>
      </c>
      <c r="Y1" s="7">
        <v>2036</v>
      </c>
      <c r="Z1" s="7">
        <v>2037</v>
      </c>
      <c r="AA1" s="7">
        <v>2038</v>
      </c>
      <c r="AB1" s="7">
        <v>2039</v>
      </c>
      <c r="AC1" s="7">
        <v>2040</v>
      </c>
      <c r="AD1" s="7">
        <v>2041</v>
      </c>
      <c r="AE1" s="7">
        <v>2042</v>
      </c>
      <c r="AF1" s="7">
        <v>2043</v>
      </c>
      <c r="AG1" s="7">
        <v>2044</v>
      </c>
      <c r="AH1" s="7">
        <v>2045</v>
      </c>
      <c r="AI1" s="7">
        <v>2046</v>
      </c>
      <c r="AJ1" s="7">
        <v>2047</v>
      </c>
      <c r="AK1" s="7">
        <v>2048</v>
      </c>
      <c r="AL1" s="7">
        <v>2049</v>
      </c>
      <c r="AM1" s="7">
        <v>2050</v>
      </c>
    </row>
    <row r="2" spans="1:39" ht="18">
      <c r="A2" s="6" t="s">
        <v>19</v>
      </c>
      <c r="B2" s="5">
        <v>1947.03</v>
      </c>
      <c r="C2" s="5">
        <v>1981.664</v>
      </c>
      <c r="D2" s="5">
        <v>2016.6759999999999</v>
      </c>
      <c r="E2" s="5">
        <v>2051.2139999999999</v>
      </c>
      <c r="F2" s="5">
        <v>2086.31</v>
      </c>
      <c r="G2" s="5">
        <v>2123.5859999999998</v>
      </c>
      <c r="H2" s="5">
        <v>2165.462</v>
      </c>
      <c r="I2" s="5">
        <v>2207.9259999999999</v>
      </c>
      <c r="J2" s="5">
        <v>2255.8919999999998</v>
      </c>
      <c r="K2" s="5">
        <v>2304.627</v>
      </c>
      <c r="L2" s="4">
        <v>2353.1979999999999</v>
      </c>
      <c r="M2" s="4">
        <f t="shared" ref="M2:AM2" si="0">_xlfn.FORECAST.LINEAR(M3,$B$2:$K$2,$B$3:$K$3)</f>
        <v>2487.3981350277354</v>
      </c>
      <c r="N2" s="7">
        <f>_xlfn.FORECAST.LINEAR(N3,$B$2:$K$2,$B$3:$K$3)</f>
        <v>2499.2731147335539</v>
      </c>
      <c r="O2" s="7">
        <f t="shared" si="0"/>
        <v>2491.8984974329014</v>
      </c>
      <c r="P2" s="7">
        <f t="shared" si="0"/>
        <v>2501.56724478775</v>
      </c>
      <c r="Q2" s="7">
        <f t="shared" si="0"/>
        <v>2531.0041855981035</v>
      </c>
      <c r="R2" s="7">
        <f t="shared" si="0"/>
        <v>2560.159853758134</v>
      </c>
      <c r="S2" s="7">
        <f t="shared" si="0"/>
        <v>2589.1660958226803</v>
      </c>
      <c r="T2" s="7">
        <f t="shared" si="0"/>
        <v>2618.0932299543238</v>
      </c>
      <c r="U2" s="7">
        <f t="shared" si="0"/>
        <v>2647.0379436266121</v>
      </c>
      <c r="V2" s="7">
        <f t="shared" si="0"/>
        <v>2676.0705550021262</v>
      </c>
      <c r="W2" s="7">
        <f t="shared" si="0"/>
        <v>2705.1295356886085</v>
      </c>
      <c r="X2" s="7">
        <f t="shared" si="0"/>
        <v>2734.1181982125095</v>
      </c>
      <c r="Y2" s="7">
        <f t="shared" si="0"/>
        <v>2763.1332300473787</v>
      </c>
      <c r="Z2" s="7">
        <f t="shared" si="0"/>
        <v>2792.2449493557961</v>
      </c>
      <c r="AA2" s="7">
        <f t="shared" si="0"/>
        <v>2821.5500436113107</v>
      </c>
      <c r="AB2" s="7">
        <f t="shared" si="0"/>
        <v>2851.1012514358576</v>
      </c>
      <c r="AC2" s="7">
        <f t="shared" si="0"/>
        <v>2880.9513114513729</v>
      </c>
      <c r="AD2" s="7">
        <f t="shared" si="0"/>
        <v>2911.1265929688238</v>
      </c>
      <c r="AE2" s="7">
        <f t="shared" si="0"/>
        <v>2941.6886243804688</v>
      </c>
      <c r="AF2" s="7">
        <f t="shared" si="0"/>
        <v>2972.6286159159854</v>
      </c>
      <c r="AG2" s="7">
        <f t="shared" si="0"/>
        <v>3043.9939667813233</v>
      </c>
      <c r="AH2" s="7">
        <f t="shared" si="0"/>
        <v>3077.9229817750766</v>
      </c>
      <c r="AI2" s="7">
        <f t="shared" si="0"/>
        <v>3111.8519967688198</v>
      </c>
      <c r="AJ2" s="7">
        <f t="shared" si="0"/>
        <v>3145.7810117625622</v>
      </c>
      <c r="AK2" s="7">
        <f t="shared" si="0"/>
        <v>3179.7100267563055</v>
      </c>
      <c r="AL2" s="7">
        <f t="shared" si="0"/>
        <v>3213.6390417500488</v>
      </c>
      <c r="AM2" s="7">
        <f t="shared" si="0"/>
        <v>3247.5680567437912</v>
      </c>
    </row>
    <row r="3" spans="1:39" ht="18">
      <c r="A3" s="5" t="s">
        <v>20</v>
      </c>
      <c r="B3" s="4" cm="1">
        <f t="array" ref="B3:L3">TRANSPOSE(D25:D35)</f>
        <v>35209597</v>
      </c>
      <c r="C3" s="4">
        <v>35555305</v>
      </c>
      <c r="D3" s="4">
        <v>35823591</v>
      </c>
      <c r="E3" s="4">
        <v>36257421</v>
      </c>
      <c r="F3" s="4">
        <v>36722075</v>
      </c>
      <c r="G3" s="4">
        <v>37259485</v>
      </c>
      <c r="H3" s="4">
        <v>37828162</v>
      </c>
      <c r="I3" s="4">
        <v>38027406</v>
      </c>
      <c r="J3" s="4">
        <v>38446871</v>
      </c>
      <c r="K3" s="4">
        <v>39279501</v>
      </c>
      <c r="L3" s="4">
        <v>40513781</v>
      </c>
      <c r="M3" s="4" cm="1">
        <f t="array" ref="M3:AF3">TRANSPOSE(J20:J39)</f>
        <v>41288600</v>
      </c>
      <c r="N3" s="4">
        <v>41423700</v>
      </c>
      <c r="O3" s="4">
        <v>41339800</v>
      </c>
      <c r="P3" s="4">
        <v>41449800</v>
      </c>
      <c r="Q3" s="4">
        <v>41784700</v>
      </c>
      <c r="R3" s="4">
        <v>42116400</v>
      </c>
      <c r="S3" s="4">
        <v>42446400</v>
      </c>
      <c r="T3" s="4">
        <v>42775500</v>
      </c>
      <c r="U3" s="4">
        <v>43104800</v>
      </c>
      <c r="V3" s="4">
        <v>43435100</v>
      </c>
      <c r="W3" s="4">
        <v>43765700</v>
      </c>
      <c r="X3" s="4">
        <v>44095500</v>
      </c>
      <c r="Y3" s="4">
        <v>44425600</v>
      </c>
      <c r="Z3" s="4">
        <v>44756800</v>
      </c>
      <c r="AA3" s="4">
        <v>45090200</v>
      </c>
      <c r="AB3" s="4">
        <v>45426400</v>
      </c>
      <c r="AC3" s="4">
        <v>45766000</v>
      </c>
      <c r="AD3" s="4">
        <v>46109300</v>
      </c>
      <c r="AE3" s="4">
        <v>46457000</v>
      </c>
      <c r="AF3" s="4">
        <v>46809000</v>
      </c>
      <c r="AG3" s="4">
        <f>_xlfn.FORECAST.LINEAR(AG$1,$B$3:$AF$3,$B$1:$AF$1)</f>
        <v>47620913.716128945</v>
      </c>
      <c r="AH3" s="4">
        <f t="shared" ref="AH3:AM3" si="1">_xlfn.FORECAST.LINEAR(AH$1,$B$3:$AF$3,$B$1:$AF$1)</f>
        <v>48006919.422177434</v>
      </c>
      <c r="AI3" s="4">
        <f t="shared" si="1"/>
        <v>48392925.128225803</v>
      </c>
      <c r="AJ3" s="4">
        <f t="shared" si="1"/>
        <v>48778930.834274173</v>
      </c>
      <c r="AK3" s="4">
        <f t="shared" si="1"/>
        <v>49164936.540322542</v>
      </c>
      <c r="AL3" s="4">
        <f t="shared" si="1"/>
        <v>49550942.246370912</v>
      </c>
      <c r="AM3" s="4">
        <f t="shared" si="1"/>
        <v>49936947.952419281</v>
      </c>
    </row>
    <row r="9" spans="1:39">
      <c r="A9" t="s">
        <v>22</v>
      </c>
    </row>
    <row r="10" spans="1:39" ht="16.2" thickBot="1">
      <c r="A10" s="9">
        <v>2000</v>
      </c>
      <c r="B10" s="9">
        <v>2001</v>
      </c>
      <c r="C10" s="9">
        <v>2002</v>
      </c>
      <c r="D10" s="9">
        <v>2003</v>
      </c>
      <c r="E10" s="9">
        <v>2004</v>
      </c>
      <c r="F10" s="9">
        <v>2005</v>
      </c>
      <c r="G10" s="9">
        <v>2006</v>
      </c>
      <c r="H10" s="9">
        <v>2007</v>
      </c>
      <c r="I10" s="9">
        <v>2008</v>
      </c>
      <c r="J10" s="9">
        <v>2009</v>
      </c>
      <c r="K10" s="9">
        <v>2010</v>
      </c>
      <c r="L10" s="9">
        <v>2011</v>
      </c>
      <c r="M10" s="9">
        <v>2012</v>
      </c>
      <c r="N10" s="9">
        <v>2013</v>
      </c>
      <c r="O10" s="9">
        <v>2014</v>
      </c>
      <c r="P10" s="9">
        <v>2015</v>
      </c>
      <c r="Q10" s="9">
        <v>2016</v>
      </c>
      <c r="R10" s="9">
        <v>2017</v>
      </c>
      <c r="S10" s="9">
        <v>2018</v>
      </c>
      <c r="T10" s="9">
        <v>2019</v>
      </c>
      <c r="U10" s="9">
        <v>2020</v>
      </c>
      <c r="V10" s="9">
        <v>2021</v>
      </c>
      <c r="W10" s="9">
        <v>2022</v>
      </c>
      <c r="X10" s="9">
        <v>2023</v>
      </c>
    </row>
    <row r="11" spans="1:39">
      <c r="A11" s="8">
        <v>1498.64</v>
      </c>
      <c r="B11" s="8">
        <v>1526.451</v>
      </c>
      <c r="C11" s="8">
        <v>1558.798</v>
      </c>
      <c r="D11" s="8">
        <v>1593.3389999999999</v>
      </c>
      <c r="E11" s="8">
        <v>1630.5540000000001</v>
      </c>
      <c r="F11" s="8">
        <v>1667.0039999999999</v>
      </c>
      <c r="G11" s="8">
        <v>1705.181</v>
      </c>
      <c r="H11" s="8">
        <v>1743.0070000000001</v>
      </c>
      <c r="I11" s="8">
        <v>1779.692</v>
      </c>
      <c r="J11" s="8">
        <v>1811.077</v>
      </c>
      <c r="K11" s="8">
        <v>1843.0119999999999</v>
      </c>
      <c r="L11" s="8">
        <v>1875.6420000000001</v>
      </c>
      <c r="M11" s="8">
        <v>1911.2639999999999</v>
      </c>
      <c r="N11" s="8">
        <v>1947.03</v>
      </c>
      <c r="O11" s="8">
        <v>1981.664</v>
      </c>
      <c r="P11" s="8">
        <v>2016.6759999999999</v>
      </c>
      <c r="Q11" s="8">
        <v>2051.2139999999999</v>
      </c>
      <c r="R11" s="8">
        <v>2086.31</v>
      </c>
      <c r="S11" s="8">
        <v>2123.5859999999998</v>
      </c>
      <c r="T11" s="8">
        <v>2165.462</v>
      </c>
      <c r="U11" s="8">
        <v>2207.9259999999999</v>
      </c>
      <c r="V11" s="8">
        <v>2255.8919999999998</v>
      </c>
      <c r="W11" s="8">
        <v>2304.627</v>
      </c>
      <c r="X11" s="8">
        <v>2353.1979999999999</v>
      </c>
    </row>
    <row r="20" spans="4:25">
      <c r="I20" s="3">
        <v>41288.6</v>
      </c>
      <c r="J20">
        <f>I20*1000</f>
        <v>41288600</v>
      </c>
      <c r="Y20" t="s">
        <v>21</v>
      </c>
    </row>
    <row r="21" spans="4:25">
      <c r="I21" s="3">
        <v>41423.699999999997</v>
      </c>
      <c r="J21">
        <f t="shared" ref="J21:J39" si="2">I21*1000</f>
        <v>41423700</v>
      </c>
    </row>
    <row r="22" spans="4:25">
      <c r="I22" s="3">
        <v>41339.800000000003</v>
      </c>
      <c r="J22">
        <f t="shared" si="2"/>
        <v>41339800</v>
      </c>
    </row>
    <row r="23" spans="4:25">
      <c r="I23" s="3">
        <v>41449.800000000003</v>
      </c>
      <c r="J23">
        <f t="shared" si="2"/>
        <v>41449800</v>
      </c>
    </row>
    <row r="24" spans="4:25">
      <c r="I24" s="3">
        <v>41784.699999999997</v>
      </c>
      <c r="J24">
        <f t="shared" si="2"/>
        <v>41784700</v>
      </c>
    </row>
    <row r="25" spans="4:25">
      <c r="D25">
        <v>35209597</v>
      </c>
      <c r="I25" s="3">
        <v>42116.4</v>
      </c>
      <c r="J25">
        <f t="shared" si="2"/>
        <v>42116400</v>
      </c>
    </row>
    <row r="26" spans="4:25">
      <c r="D26">
        <v>35555305</v>
      </c>
      <c r="I26" s="3">
        <v>42446.400000000001</v>
      </c>
      <c r="J26">
        <f t="shared" si="2"/>
        <v>42446400</v>
      </c>
    </row>
    <row r="27" spans="4:25">
      <c r="D27">
        <v>35823591</v>
      </c>
      <c r="I27" s="3">
        <v>42775.5</v>
      </c>
      <c r="J27">
        <f t="shared" si="2"/>
        <v>42775500</v>
      </c>
    </row>
    <row r="28" spans="4:25">
      <c r="D28">
        <v>36257421</v>
      </c>
      <c r="I28" s="3">
        <v>43104.800000000003</v>
      </c>
      <c r="J28">
        <f t="shared" si="2"/>
        <v>43104800</v>
      </c>
    </row>
    <row r="29" spans="4:25">
      <c r="D29">
        <v>36722075</v>
      </c>
      <c r="I29" s="3">
        <v>43435.1</v>
      </c>
      <c r="J29">
        <f t="shared" si="2"/>
        <v>43435100</v>
      </c>
    </row>
    <row r="30" spans="4:25">
      <c r="D30">
        <v>37259485</v>
      </c>
      <c r="I30" s="3">
        <v>43765.7</v>
      </c>
      <c r="J30">
        <f t="shared" si="2"/>
        <v>43765700</v>
      </c>
    </row>
    <row r="31" spans="4:25">
      <c r="D31">
        <v>37828162</v>
      </c>
      <c r="I31" s="3">
        <v>44095.5</v>
      </c>
      <c r="J31">
        <f t="shared" si="2"/>
        <v>44095500</v>
      </c>
    </row>
    <row r="32" spans="4:25">
      <c r="D32">
        <v>38027406</v>
      </c>
      <c r="I32" s="3">
        <v>44425.599999999999</v>
      </c>
      <c r="J32">
        <f t="shared" si="2"/>
        <v>44425600</v>
      </c>
    </row>
    <row r="33" spans="4:10">
      <c r="D33">
        <v>38446871</v>
      </c>
      <c r="I33" s="3">
        <v>44756.800000000003</v>
      </c>
      <c r="J33">
        <f t="shared" si="2"/>
        <v>44756800</v>
      </c>
    </row>
    <row r="34" spans="4:10">
      <c r="D34">
        <v>39279501</v>
      </c>
      <c r="I34" s="3">
        <v>45090.2</v>
      </c>
      <c r="J34">
        <f t="shared" si="2"/>
        <v>45090200</v>
      </c>
    </row>
    <row r="35" spans="4:10">
      <c r="D35">
        <v>40513781</v>
      </c>
      <c r="I35" s="3">
        <v>45426.400000000001</v>
      </c>
      <c r="J35">
        <f t="shared" si="2"/>
        <v>45426400</v>
      </c>
    </row>
    <row r="36" spans="4:10">
      <c r="I36" s="3">
        <v>45766</v>
      </c>
      <c r="J36">
        <f t="shared" si="2"/>
        <v>45766000</v>
      </c>
    </row>
    <row r="37" spans="4:10">
      <c r="I37" s="3">
        <v>46109.3</v>
      </c>
      <c r="J37">
        <f t="shared" si="2"/>
        <v>46109300</v>
      </c>
    </row>
    <row r="38" spans="4:10">
      <c r="I38" s="3">
        <v>46457</v>
      </c>
      <c r="J38">
        <f t="shared" si="2"/>
        <v>46457000</v>
      </c>
    </row>
    <row r="39" spans="4:10">
      <c r="I39" s="3">
        <v>46809</v>
      </c>
      <c r="J39">
        <f t="shared" si="2"/>
        <v>46809000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NRCan age projections</vt:lpstr>
      <vt:lpstr>Keagan see this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Hossaini</dc:creator>
  <cp:lastModifiedBy>Keagan Rankin</cp:lastModifiedBy>
  <dcterms:created xsi:type="dcterms:W3CDTF">2026-10-01T17:15:14Z</dcterms:created>
  <dcterms:modified xsi:type="dcterms:W3CDTF">2026-10-11T20:48:07Z</dcterms:modified>
</cp:coreProperties>
</file>